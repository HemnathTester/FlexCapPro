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xr:revisionPtr revIDLastSave="0" documentId="8_{2549966F-6BB7-4518-A843-D8C5C012CB51}" xr6:coauthVersionLast="47" xr6:coauthVersionMax="47" xr10:uidLastSave="{00000000-0000-0000-0000-000000000000}"/>
  <bookViews>
    <workbookView xWindow="0" yWindow="0" windowWidth="16384" windowHeight="8192" tabRatio="500" firstSheet="21" activeTab="21" xr2:uid="{00000000-000D-0000-FFFF-FFFF00000000}"/>
  </bookViews>
  <sheets>
    <sheet name="Summary" sheetId="1" r:id="rId1"/>
    <sheet name="Register" sheetId="2" r:id="rId2"/>
    <sheet name="Login" sheetId="3" r:id="rId3"/>
    <sheet name="Forgot Password" sheetId="4" r:id="rId4"/>
    <sheet name="Supplier Onboarding" sheetId="5" r:id="rId5"/>
    <sheet name="Buyer Onboarding" sheetId="6" r:id="rId6"/>
    <sheet name="Supplier Dashboard page" sheetId="7" r:id="rId7"/>
    <sheet name="Supplier Buyer page" sheetId="8" r:id="rId8"/>
    <sheet name="Supplier Reports Page" sheetId="9" r:id="rId9"/>
    <sheet name="Supplier Invoices Page" sheetId="10" r:id="rId10"/>
    <sheet name="Supplier Admin page " sheetId="11" r:id="rId11"/>
    <sheet name="Supplier Help and Support Page" sheetId="12" r:id="rId12"/>
    <sheet name="Supplier Entity" sheetId="13" r:id="rId13"/>
    <sheet name="Buyer Dashboard" sheetId="14" r:id="rId14"/>
    <sheet name="Add Supplier Page" sheetId="15" r:id="rId15"/>
    <sheet name="Buyer Report Page" sheetId="16" r:id="rId16"/>
    <sheet name="Buyer Help and Support Page" sheetId="17" r:id="rId17"/>
    <sheet name="Buyer Entity Page" sheetId="18" r:id="rId18"/>
    <sheet name="Buyer Add Card Page " sheetId="19" r:id="rId19"/>
    <sheet name="Buyer Payable Page" sheetId="20" r:id="rId20"/>
    <sheet name="Email Notification" sheetId="21" r:id="rId21"/>
    <sheet name="In_App Notification" sheetId="22" r:id="rId22"/>
  </sheets>
  <definedNames>
    <definedName name="_xlnm._FilterDatabase" localSheetId="14" hidden="1">'Add Supplier Page'!$A$1:$K$43</definedName>
    <definedName name="_xlnm._FilterDatabase" localSheetId="18" hidden="1">'Buyer Add Card Page '!$A$1:$K$38</definedName>
    <definedName name="_xlnm._FilterDatabase" localSheetId="13" hidden="1">'Buyer Dashboard'!$A$1:$K$83</definedName>
    <definedName name="_xlnm._FilterDatabase" localSheetId="17" hidden="1">'Buyer Entity Page'!$A$1:$K$258</definedName>
    <definedName name="_xlnm._FilterDatabase" localSheetId="16" hidden="1">'Buyer Help and Support Page'!$A$1:$K$55</definedName>
    <definedName name="_xlnm._FilterDatabase" localSheetId="5" hidden="1">'Buyer Onboarding'!$A$1:$K$223</definedName>
    <definedName name="_xlnm._FilterDatabase" localSheetId="19" hidden="1">'Buyer Payable Page'!$A$1:$K$85</definedName>
    <definedName name="_xlnm._FilterDatabase" localSheetId="15" hidden="1">'Buyer Report Page'!$A$1:$K$75</definedName>
    <definedName name="_xlnm._FilterDatabase" localSheetId="20" hidden="1">'Email Notification'!$A$1:$K$82</definedName>
    <definedName name="_xlnm._FilterDatabase" localSheetId="3" hidden="1">'Forgot Password'!$A$1:$K$34</definedName>
    <definedName name="_xlnm._FilterDatabase" localSheetId="21" hidden="1">'In_App Notification'!$A$1:$K$65</definedName>
    <definedName name="_xlnm._FilterDatabase" localSheetId="2" hidden="1">Login!$A$1:$K$34</definedName>
    <definedName name="_xlnm._FilterDatabase" localSheetId="1" hidden="1">Register!$A$1:$K$41</definedName>
    <definedName name="_xlnm._FilterDatabase" localSheetId="10" hidden="1">'Supplier Admin page '!$A$1:$K$84</definedName>
    <definedName name="_xlnm._FilterDatabase" localSheetId="7" hidden="1">'Supplier Buyer page'!$A$1:$K$115</definedName>
    <definedName name="_xlnm._FilterDatabase" localSheetId="6" hidden="1">'Supplier Dashboard page'!$A$1:$K$109</definedName>
    <definedName name="_xlnm._FilterDatabase" localSheetId="12" hidden="1">'Supplier Entity'!$A$1:$K$305</definedName>
    <definedName name="_xlnm._FilterDatabase" localSheetId="11" hidden="1">'Supplier Help and Support Page'!$A$1:$K$55</definedName>
    <definedName name="_xlnm._FilterDatabase" localSheetId="9" hidden="1">'Supplier Invoices Page'!$A$1:$K$132</definedName>
    <definedName name="_xlnm._FilterDatabase" localSheetId="4" hidden="1">'Supplier Onboarding'!$A$1:$K$256</definedName>
    <definedName name="_xlnm._FilterDatabase" localSheetId="8" hidden="1">'Supplier Reports Page'!$A$1:$K$75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71" i="1" l="1"/>
  <c r="Q70" i="1"/>
  <c r="Q69" i="1"/>
  <c r="Q68" i="1"/>
  <c r="Q66" i="1"/>
  <c r="Q65" i="1"/>
  <c r="Q64" i="1"/>
  <c r="K57" i="1"/>
  <c r="J57" i="1"/>
  <c r="I57" i="1"/>
  <c r="H57" i="1"/>
  <c r="G57" i="1"/>
  <c r="F57" i="1"/>
  <c r="E57" i="1"/>
  <c r="D57" i="1"/>
  <c r="C57" i="1"/>
  <c r="L57" i="1" s="1"/>
  <c r="K56" i="1"/>
  <c r="J56" i="1"/>
  <c r="I56" i="1"/>
  <c r="H56" i="1"/>
  <c r="G56" i="1"/>
  <c r="F56" i="1"/>
  <c r="E56" i="1"/>
  <c r="D56" i="1"/>
  <c r="C56" i="1"/>
  <c r="L56" i="1" s="1"/>
  <c r="K55" i="1"/>
  <c r="J55" i="1"/>
  <c r="I55" i="1"/>
  <c r="H55" i="1"/>
  <c r="G55" i="1"/>
  <c r="F55" i="1"/>
  <c r="E55" i="1"/>
  <c r="D55" i="1"/>
  <c r="C55" i="1"/>
  <c r="L55" i="1" s="1"/>
  <c r="K54" i="1"/>
  <c r="J54" i="1"/>
  <c r="I54" i="1"/>
  <c r="H54" i="1"/>
  <c r="G54" i="1"/>
  <c r="F54" i="1"/>
  <c r="E54" i="1"/>
  <c r="D54" i="1"/>
  <c r="C54" i="1"/>
  <c r="L54" i="1" s="1"/>
  <c r="K53" i="1"/>
  <c r="J53" i="1"/>
  <c r="I53" i="1"/>
  <c r="H53" i="1"/>
  <c r="G53" i="1"/>
  <c r="F53" i="1"/>
  <c r="E53" i="1"/>
  <c r="D53" i="1"/>
  <c r="C53" i="1"/>
  <c r="L53" i="1" s="1"/>
  <c r="K52" i="1"/>
  <c r="J52" i="1"/>
  <c r="I52" i="1"/>
  <c r="H52" i="1"/>
  <c r="G52" i="1"/>
  <c r="F52" i="1"/>
  <c r="E52" i="1"/>
  <c r="D52" i="1"/>
  <c r="C52" i="1"/>
  <c r="L52" i="1" s="1"/>
  <c r="K51" i="1"/>
  <c r="J51" i="1"/>
  <c r="I51" i="1"/>
  <c r="H51" i="1"/>
  <c r="G51" i="1"/>
  <c r="F51" i="1"/>
  <c r="E51" i="1"/>
  <c r="D51" i="1"/>
  <c r="C51" i="1"/>
  <c r="L51" i="1" s="1"/>
  <c r="K50" i="1"/>
  <c r="J50" i="1"/>
  <c r="I50" i="1"/>
  <c r="H50" i="1"/>
  <c r="G50" i="1"/>
  <c r="F50" i="1"/>
  <c r="E50" i="1"/>
  <c r="D50" i="1"/>
  <c r="C50" i="1"/>
  <c r="L50" i="1" s="1"/>
  <c r="K49" i="1"/>
  <c r="J49" i="1"/>
  <c r="I49" i="1"/>
  <c r="H49" i="1"/>
  <c r="G49" i="1"/>
  <c r="F49" i="1"/>
  <c r="E49" i="1"/>
  <c r="D49" i="1"/>
  <c r="C49" i="1"/>
  <c r="L49" i="1" s="1"/>
  <c r="K48" i="1"/>
  <c r="J48" i="1"/>
  <c r="I48" i="1"/>
  <c r="H48" i="1"/>
  <c r="G48" i="1"/>
  <c r="F48" i="1"/>
  <c r="E48" i="1"/>
  <c r="D48" i="1"/>
  <c r="C48" i="1"/>
  <c r="L48" i="1" s="1"/>
  <c r="K47" i="1"/>
  <c r="J47" i="1"/>
  <c r="I47" i="1"/>
  <c r="H47" i="1"/>
  <c r="G47" i="1"/>
  <c r="F47" i="1"/>
  <c r="E47" i="1"/>
  <c r="D47" i="1"/>
  <c r="C47" i="1"/>
  <c r="L47" i="1" s="1"/>
  <c r="K46" i="1"/>
  <c r="J46" i="1"/>
  <c r="I46" i="1"/>
  <c r="H46" i="1"/>
  <c r="G46" i="1"/>
  <c r="F46" i="1"/>
  <c r="E46" i="1"/>
  <c r="D46" i="1"/>
  <c r="C46" i="1"/>
  <c r="L46" i="1" s="1"/>
  <c r="K45" i="1"/>
  <c r="J45" i="1"/>
  <c r="I45" i="1"/>
  <c r="H45" i="1"/>
  <c r="G45" i="1"/>
  <c r="F45" i="1"/>
  <c r="E45" i="1"/>
  <c r="D45" i="1"/>
  <c r="C45" i="1"/>
  <c r="L45" i="1" s="1"/>
  <c r="K44" i="1"/>
  <c r="J44" i="1"/>
  <c r="I44" i="1"/>
  <c r="H44" i="1"/>
  <c r="G44" i="1"/>
  <c r="F44" i="1"/>
  <c r="E44" i="1"/>
  <c r="D44" i="1"/>
  <c r="C44" i="1"/>
  <c r="L44" i="1" s="1"/>
  <c r="K43" i="1"/>
  <c r="J43" i="1"/>
  <c r="I43" i="1"/>
  <c r="H43" i="1"/>
  <c r="G43" i="1"/>
  <c r="F43" i="1"/>
  <c r="E43" i="1"/>
  <c r="D43" i="1"/>
  <c r="C43" i="1"/>
  <c r="L43" i="1" s="1"/>
  <c r="K42" i="1"/>
  <c r="J42" i="1"/>
  <c r="I42" i="1"/>
  <c r="H42" i="1"/>
  <c r="G42" i="1"/>
  <c r="F42" i="1"/>
  <c r="E42" i="1"/>
  <c r="D42" i="1"/>
  <c r="C42" i="1"/>
  <c r="L42" i="1" s="1"/>
  <c r="K41" i="1"/>
  <c r="J41" i="1"/>
  <c r="I41" i="1"/>
  <c r="H41" i="1"/>
  <c r="G41" i="1"/>
  <c r="F41" i="1"/>
  <c r="E41" i="1"/>
  <c r="D41" i="1"/>
  <c r="C41" i="1"/>
  <c r="L41" i="1" s="1"/>
  <c r="K40" i="1"/>
  <c r="J40" i="1"/>
  <c r="I40" i="1"/>
  <c r="H40" i="1"/>
  <c r="G40" i="1"/>
  <c r="F40" i="1"/>
  <c r="E40" i="1"/>
  <c r="D40" i="1"/>
  <c r="C40" i="1"/>
  <c r="L40" i="1" s="1"/>
  <c r="K39" i="1"/>
  <c r="J39" i="1"/>
  <c r="I39" i="1"/>
  <c r="H39" i="1"/>
  <c r="G39" i="1"/>
  <c r="F39" i="1"/>
  <c r="E39" i="1"/>
  <c r="D39" i="1"/>
  <c r="C39" i="1"/>
  <c r="L39" i="1" s="1"/>
  <c r="K38" i="1"/>
  <c r="J38" i="1"/>
  <c r="I38" i="1"/>
  <c r="H38" i="1"/>
  <c r="G38" i="1"/>
  <c r="F38" i="1"/>
  <c r="E38" i="1"/>
  <c r="D38" i="1"/>
  <c r="C38" i="1"/>
  <c r="L38" i="1" s="1"/>
  <c r="K37" i="1"/>
  <c r="K58" i="1" s="1"/>
  <c r="J37" i="1"/>
  <c r="J58" i="1" s="1"/>
  <c r="I37" i="1"/>
  <c r="H37" i="1"/>
  <c r="H58" i="1" s="1"/>
  <c r="G37" i="1"/>
  <c r="G58" i="1" s="1"/>
  <c r="F37" i="1"/>
  <c r="F58" i="1" s="1"/>
  <c r="E37" i="1"/>
  <c r="E58" i="1" s="1"/>
  <c r="D37" i="1"/>
  <c r="D58" i="1" s="1"/>
  <c r="C37" i="1"/>
  <c r="C32" i="1"/>
  <c r="D32" i="1" s="1"/>
  <c r="C31" i="1"/>
  <c r="D31" i="1" s="1"/>
  <c r="C30" i="1"/>
  <c r="D30" i="1" s="1"/>
  <c r="C29" i="1"/>
  <c r="D29" i="1" s="1"/>
  <c r="C28" i="1"/>
  <c r="D28" i="1" s="1"/>
  <c r="C27" i="1"/>
  <c r="D27" i="1" s="1"/>
  <c r="C26" i="1"/>
  <c r="D26" i="1" s="1"/>
  <c r="C25" i="1"/>
  <c r="D25" i="1" s="1"/>
  <c r="C24" i="1"/>
  <c r="D24" i="1" s="1"/>
  <c r="C23" i="1"/>
  <c r="D23" i="1" s="1"/>
  <c r="C22" i="1"/>
  <c r="D22" i="1" s="1"/>
  <c r="C21" i="1"/>
  <c r="D21" i="1" s="1"/>
  <c r="N17" i="1"/>
  <c r="K17" i="1"/>
  <c r="H17" i="1"/>
  <c r="E17" i="1"/>
  <c r="B17" i="1"/>
  <c r="Q11" i="1"/>
  <c r="L11" i="1"/>
  <c r="G11" i="1"/>
  <c r="B11" i="1"/>
  <c r="Q6" i="1"/>
  <c r="L6" i="1"/>
  <c r="G6" i="1"/>
  <c r="B6" i="1"/>
  <c r="C58" i="1" l="1"/>
  <c r="L37" i="1"/>
  <c r="I58" i="1"/>
  <c r="N37" i="1"/>
  <c r="M37" i="1"/>
  <c r="N38" i="1"/>
  <c r="M38" i="1"/>
  <c r="N39" i="1"/>
  <c r="M39" i="1"/>
  <c r="N40" i="1"/>
  <c r="M40" i="1"/>
  <c r="N41" i="1"/>
  <c r="M41" i="1"/>
  <c r="N42" i="1"/>
  <c r="M42" i="1"/>
  <c r="N43" i="1"/>
  <c r="M43" i="1"/>
  <c r="N44" i="1"/>
  <c r="M44" i="1"/>
  <c r="N45" i="1"/>
  <c r="M45" i="1"/>
  <c r="N46" i="1"/>
  <c r="M46" i="1"/>
  <c r="N47" i="1"/>
  <c r="M47" i="1"/>
  <c r="N48" i="1"/>
  <c r="M48" i="1"/>
  <c r="N49" i="1"/>
  <c r="M49" i="1"/>
  <c r="N50" i="1"/>
  <c r="M50" i="1"/>
  <c r="N51" i="1"/>
  <c r="M51" i="1"/>
  <c r="N52" i="1"/>
  <c r="M52" i="1"/>
  <c r="N53" i="1"/>
  <c r="M53" i="1"/>
  <c r="N54" i="1"/>
  <c r="M54" i="1"/>
  <c r="N55" i="1"/>
  <c r="M55" i="1"/>
  <c r="N56" i="1"/>
  <c r="M56" i="1"/>
  <c r="N57" i="1"/>
  <c r="M57" i="1"/>
  <c r="N58" i="1" l="1"/>
  <c r="M58" i="1"/>
  <c r="L58" i="1"/>
</calcChain>
</file>

<file path=xl/sharedStrings.xml><?xml version="1.0" encoding="utf-8"?>
<sst xmlns="http://schemas.openxmlformats.org/spreadsheetml/2006/main" count="21022" uniqueCount="6688">
  <si>
    <t>FlexCapPro — Regression Test Suite Summary</t>
  </si>
  <si>
    <t>QA regression coverage across Register, Login, Supplier, Buyer, Email &amp; In-App Notification modules — live view, updates automatically as Status is filled in</t>
  </si>
  <si>
    <t>TOTAL TEST CASES</t>
  </si>
  <si>
    <t>POSITIVE TEST CASES</t>
  </si>
  <si>
    <t>NEGATIVE TEST CASES</t>
  </si>
  <si>
    <t>OTHER (DEFECT LOGS)</t>
  </si>
  <si>
    <t>Across all 21 modules</t>
  </si>
  <si>
    <t>Standard/happy-path flows</t>
  </si>
  <si>
    <t>Edge cases &amp; error handling</t>
  </si>
  <si>
    <t>Defects found during authoring</t>
  </si>
  <si>
    <t>PASSED</t>
  </si>
  <si>
    <t>FAILED</t>
  </si>
  <si>
    <t>BLOCKED</t>
  </si>
  <si>
    <t>NOT EXECUTED / PENDING</t>
  </si>
  <si>
    <t>Executed &amp; working as expected</t>
  </si>
  <si>
    <t>Executed &amp; defect found</t>
  </si>
  <si>
    <t>Could not be executed</t>
  </si>
  <si>
    <t>Yet to be run by QA</t>
  </si>
  <si>
    <t>EXECUTION HEALTH</t>
  </si>
  <si>
    <t>Execution % (Pass+Fail+Blocked / Total)</t>
  </si>
  <si>
    <t>Pass Rate % (Pass / Executed)</t>
  </si>
  <si>
    <t>High Priority Test Cases</t>
  </si>
  <si>
    <t>Medium Priority Test Cases</t>
  </si>
  <si>
    <t>Low Priority Test Cases</t>
  </si>
  <si>
    <t>TEST CASE TYPE BREAKDOWN (how the suite is composed)</t>
  </si>
  <si>
    <t>Test Case Type Category</t>
  </si>
  <si>
    <t>Count</t>
  </si>
  <si>
    <t>% of Suite</t>
  </si>
  <si>
    <t>Functional - Positive</t>
  </si>
  <si>
    <t>Functional - Negative</t>
  </si>
  <si>
    <t>Validation - Positive</t>
  </si>
  <si>
    <t>Validation - Negative</t>
  </si>
  <si>
    <t>Functionality - Positive</t>
  </si>
  <si>
    <t>Functionality - Negative</t>
  </si>
  <si>
    <t>Calculation - Positive</t>
  </si>
  <si>
    <t>Calculation - Negative</t>
  </si>
  <si>
    <t>Positive (generic)</t>
  </si>
  <si>
    <t>Negative (generic)</t>
  </si>
  <si>
    <t>Defect - Functional</t>
  </si>
  <si>
    <t>Defect - Validation</t>
  </si>
  <si>
    <t>PER-MODULE / SCREEN BREAKDOWN</t>
  </si>
  <si>
    <t>Module / Screen</t>
  </si>
  <si>
    <t>Total TCs</t>
  </si>
  <si>
    <t>Positive</t>
  </si>
  <si>
    <t>Negative</t>
  </si>
  <si>
    <t>High</t>
  </si>
  <si>
    <t>Medium</t>
  </si>
  <si>
    <t>Low</t>
  </si>
  <si>
    <t>Pass</t>
  </si>
  <si>
    <t>Fail</t>
  </si>
  <si>
    <t>Blocked</t>
  </si>
  <si>
    <t>Not Executed</t>
  </si>
  <si>
    <t>Pass Rate %</t>
  </si>
  <si>
    <t>Execution %</t>
  </si>
  <si>
    <t>Register</t>
  </si>
  <si>
    <t>Login</t>
  </si>
  <si>
    <t>Forgot Password</t>
  </si>
  <si>
    <t>Supplier Onboarding</t>
  </si>
  <si>
    <t>Buyer Onboarding</t>
  </si>
  <si>
    <t>Supplier Dashboard page</t>
  </si>
  <si>
    <t>Supplier Buyer page</t>
  </si>
  <si>
    <t>Supplier Reports Page</t>
  </si>
  <si>
    <t>Supplier Invoices Page</t>
  </si>
  <si>
    <t>Supplier Admin page</t>
  </si>
  <si>
    <t>Supplier Help and Support Page</t>
  </si>
  <si>
    <t>Supplier Entity</t>
  </si>
  <si>
    <t>Buyer Dashboard</t>
  </si>
  <si>
    <t>Add Supplier Page</t>
  </si>
  <si>
    <t>Buyer Report Page</t>
  </si>
  <si>
    <t>Buyer Help and Support Page</t>
  </si>
  <si>
    <t>Buyer Entity Page</t>
  </si>
  <si>
    <t>Buyer Add Card Page</t>
  </si>
  <si>
    <t>Buyer Payable Page</t>
  </si>
  <si>
    <t>Email Notification</t>
  </si>
  <si>
    <t>In_App Notification</t>
  </si>
  <si>
    <t>TOTAL (ALL MODULES)</t>
  </si>
  <si>
    <t>Notes: 'Not Executed' includes rows with no Status value yet. 'Other' test-case types are defect-log entries recorded during authoring (e.g., Defect - Functional/Validation) and are excluded from Positive/Negative counts. All figures on this page are formulas — they update automatically as the QA team fills in Actual Result / Status on each module tab.</t>
  </si>
  <si>
    <t>Chart data</t>
  </si>
  <si>
    <t>Other</t>
  </si>
  <si>
    <t>Test Case ID</t>
  </si>
  <si>
    <t>Screen</t>
  </si>
  <si>
    <t>Test Case Description</t>
  </si>
  <si>
    <t>Test Case Type</t>
  </si>
  <si>
    <t>Priority</t>
  </si>
  <si>
    <t>Test Steps</t>
  </si>
  <si>
    <t>Test Data</t>
  </si>
  <si>
    <t>Expected Result</t>
  </si>
  <si>
    <t>Actual Result</t>
  </si>
  <si>
    <t>Status</t>
  </si>
  <si>
    <t>Remarks</t>
  </si>
  <si>
    <t>TC_REG_AIR_01</t>
  </si>
  <si>
    <t>Register - Airlines</t>
  </si>
  <si>
    <t>Register successfully with all valid mandatory fields</t>
  </si>
  <si>
    <t>1. Navigate to Register page
2. Select 'Airlines' tab
3. Enter valid Organisation Name, Mobile Number (with country code), Organisation Email, Password, Confirm Password
4. Click 'Sign Up'</t>
  </si>
  <si>
    <t>Org Name: Rehan Airlines; Country Code: +971; Mobile: 378457834; Email: rehanairlines@yopmail.com; Password: Test@1234</t>
  </si>
  <si>
    <t>Registration succeeds; 'Verification Email Sent!' pop-up is displayed showing the masked registered email</t>
  </si>
  <si>
    <t>TC_REG_AIR_02</t>
  </si>
  <si>
    <t>Country code dropdown allows selecting a different code</t>
  </si>
  <si>
    <t>1. On Register - Airlines, click the country code dropdown
2. Select a different country code
3. Enter mobile number
4. Complete remaining fields and Sign Up</t>
  </si>
  <si>
    <t>Country Code: +91; Mobile: 9876543210</t>
  </si>
  <si>
    <t>Selected country code is applied correctly and reflected in the submitted mobile number; registration proceeds normally</t>
  </si>
  <si>
    <t>TC_REG_AIR_03</t>
  </si>
  <si>
    <t>Password Show/Hide toggle works on Register page</t>
  </si>
  <si>
    <t>1. Enter a password in the Password field
2. Click the eye icon on Password field
3. Click the eye icon on Confirm Password field</t>
  </si>
  <si>
    <t>Password: Test@1234</t>
  </si>
  <si>
    <t>Masked password text toggles to plain text and back correctly for both Password and Confirm Password fields independently</t>
  </si>
  <si>
    <t>TC_REG_AIR_04</t>
  </si>
  <si>
    <t>Login' link on Register page navigates to Login screen</t>
  </si>
  <si>
    <t>1. On Register - Airlines page, click 'Login' link next to 'Already a user ?'</t>
  </si>
  <si>
    <t>N/A</t>
  </si>
  <si>
    <t>User is navigated to the Login screen without submitting the registration form</t>
  </si>
  <si>
    <t>TC_REG_AIR_05</t>
  </si>
  <si>
    <t>Terms and conditions' link is accessible from Register page</t>
  </si>
  <si>
    <t>1. On Register - Airlines page, click the 'terms and conditions' link at the bottom of the form</t>
  </si>
  <si>
    <t>Terms and conditions content/page opens correctly (new tab or in-page), without disrupting entered form data</t>
  </si>
  <si>
    <t>TC_REG_AIR_06</t>
  </si>
  <si>
    <t>Switching tabs (Airlines &lt;-&gt; Freight-forwarders) does not carry over entered data</t>
  </si>
  <si>
    <t>1. On Register page, enter data under 'Airlines' tab
2. Switch to 'Freight-forwarders' tab
3. Switch back to 'Airlines' tab
4. Observe field states</t>
  </si>
  <si>
    <t>Org Name: Rehan Airlines (entered before switching)</t>
  </si>
  <si>
    <t>Fields are cleared/reset when switching tabs (or clearly retained per intended design) — behaviour should be consistent and not show stale/mismatched data between tabs</t>
  </si>
  <si>
    <t>Confirm intended behaviour (clear vs retain) with BA/Dev</t>
  </si>
  <si>
    <t>TC_REG_AIR_07</t>
  </si>
  <si>
    <t>Register with empty mandatory fields</t>
  </si>
  <si>
    <t>1. Leave one or more mandatory fields empty (Org Name / Mobile / Email / Password / Confirm Password)
2. Click 'Sign Up'</t>
  </si>
  <si>
    <t>(empty fields)</t>
  </si>
  <si>
    <t>Inline validation errors are shown for each empty mandatory field; form is not submitted</t>
  </si>
  <si>
    <t>TC_REG_AIR_08</t>
  </si>
  <si>
    <t>Register with invalid email format</t>
  </si>
  <si>
    <t>1. Enter an invalid email format in Organisation Email
2. Fill remaining fields validly
3. Click 'Sign Up'</t>
  </si>
  <si>
    <t>Email: rehanairlines@, rehanairlines.com</t>
  </si>
  <si>
    <t>Inline validation error shown: 'Enter a valid email address'; submission is blocked</t>
  </si>
  <si>
    <t>TC_REG_AIR_09</t>
  </si>
  <si>
    <t>Register with an already-registered email</t>
  </si>
  <si>
    <t>1. Enter an email that is already registered on the platform
2. Fill remaining fields validly
3. Click 'Sign Up'</t>
  </si>
  <si>
    <t>Email: rehanairlines@yopmail.com (already registered)</t>
  </si>
  <si>
    <t>Registration is rejected with a clear error (e.g., 'Email already registered. Please login or use Forgot Password.')</t>
  </si>
  <si>
    <t>TC_REG_AIR_10</t>
  </si>
  <si>
    <t>Register with password not meeting policy</t>
  </si>
  <si>
    <t>1. Enter a weak password not meeting complexity rules (e.g., too short, missing number/special character)
2. Click 'Sign Up'</t>
  </si>
  <si>
    <t>Password: test123</t>
  </si>
  <si>
    <t>Validation error shown listing the missing password requirements; registration is blocked</t>
  </si>
  <si>
    <t>Confirm exact password policy (min length, character classes) with Dev/BA</t>
  </si>
  <si>
    <t>TC_REG_AIR_11</t>
  </si>
  <si>
    <t>Register with Password and Confirm Password mismatch</t>
  </si>
  <si>
    <t>1. Enter a valid password
2. Enter a different value in Confirm Password
3. Click 'Sign Up'</t>
  </si>
  <si>
    <t>Password: Test@1234; Confirm Password: Test@1235</t>
  </si>
  <si>
    <t>Validation error shown: 'Passwords do not match'; registration is blocked</t>
  </si>
  <si>
    <t>TC_REG_AIR_12</t>
  </si>
  <si>
    <t>Register with invalid/incomplete mobile number</t>
  </si>
  <si>
    <t>1. Enter an incomplete or invalid mobile number (too short, contains letters)
2. Fill remaining fields validly
3. Click 'Sign Up'</t>
  </si>
  <si>
    <t>Mobile: 123, or 37845abc4</t>
  </si>
  <si>
    <t>Validation error shown for the mobile number field; registration is blocked</t>
  </si>
  <si>
    <t>TC_REG_AIR_13</t>
  </si>
  <si>
    <t>Register with script/SQL injection in Organisation Name field</t>
  </si>
  <si>
    <t>1. Enter a script/SQL injection payload in the Organisation Name field
2. Fill remaining fields validly
3. Click 'Sign Up'</t>
  </si>
  <si>
    <t>Org Name: &lt;script&gt;alert(1)&lt;/script&gt;</t>
  </si>
  <si>
    <t>Input is sanitized/rejected as invalid; no script executes; no unhandled server error is exposed</t>
  </si>
  <si>
    <t>TC_REG_AIR_14</t>
  </si>
  <si>
    <t>Register with Organisation Name exceeding maximum length</t>
  </si>
  <si>
    <t>1. Enter an excessively long value (e.g., 300+ characters) in Organisation Name
2. Click 'Sign Up'</t>
  </si>
  <si>
    <t>Org Name: 300+ character string</t>
  </si>
  <si>
    <t>Field enforces a sensible maximum length; validation error shown or input is truncated with a warning, not silently accepted</t>
  </si>
  <si>
    <t>Confirm exact max length with Dev/BA</t>
  </si>
  <si>
    <t>TC_REG_AIR_15</t>
  </si>
  <si>
    <t>Duplicate submission via double-click on Sign Up</t>
  </si>
  <si>
    <t>1. Fill all fields validly
2. Click 'Sign Up'
3. Immediately click 'Sign Up' again before the first request completes</t>
  </si>
  <si>
    <t>Valid registration data</t>
  </si>
  <si>
    <t>Only one account/registration request is processed; the duplicate click is idempotently ignored; only one verification email is sent</t>
  </si>
  <si>
    <t>TC_REG_AIR_16</t>
  </si>
  <si>
    <t>Register with special characters in mobile number field</t>
  </si>
  <si>
    <t>1. Enter special characters/symbols in the mobile number field (e.g., '37845#834')
2. Click 'Sign Up'</t>
  </si>
  <si>
    <t>Mobile: 37845#834</t>
  </si>
  <si>
    <t>Field rejects non-numeric characters with a validation error; registration is blocked</t>
  </si>
  <si>
    <t>TC_REG_FF_01</t>
  </si>
  <si>
    <t>Register - Freight Forwarders</t>
  </si>
  <si>
    <t>Register successfully with all valid mandatory fields (Freight-forwarders tab)</t>
  </si>
  <si>
    <t>1. Navigate to Register page
2. Select 'Freight-forwarders' tab
3. Enter valid Organisation Name, Mobile Number (with country code), Organisation Email, Password, Confirm Password
4. Click 'Sign Up'</t>
  </si>
  <si>
    <t>Org Name: Anjali Forwarders; Country Code: +971; Mobile: 501122334; Email: anjaliforwarders@yopmail.com; Password: Test@1234</t>
  </si>
  <si>
    <t>Registration succeeds; 'Verification Email Sent!' pop-up is displayed showing the masked registered email, identical behaviour to the Airlines tab</t>
  </si>
  <si>
    <t>TC_REG_FF_02</t>
  </si>
  <si>
    <t>Freight-forwarders tab has identical field set to Airlines tab</t>
  </si>
  <si>
    <t>1. Select 'Freight-forwarders' tab
2. Compare visible fields against the 'Airlines' tab</t>
  </si>
  <si>
    <t>Field set (Organisation Name, Mobile with country code, Organisation Email, Password, Confirm Password) is identical to the Airlines tab, with no additional or missing fields</t>
  </si>
  <si>
    <t>TC_REG_FF_03</t>
  </si>
  <si>
    <t>Password Show/Hide toggle works on Freight-forwarders tab</t>
  </si>
  <si>
    <t>1. Enter a password
2. Click the eye icon on Password and Confirm Password fields</t>
  </si>
  <si>
    <t>Masked password text toggles to plain text and back correctly for both fields</t>
  </si>
  <si>
    <t>TC_REG_FF_04</t>
  </si>
  <si>
    <t>Login' link on Freight-forwarders tab navigates to Login screen</t>
  </si>
  <si>
    <t>1. On Register - Freight-forwarders, click 'Login' link</t>
  </si>
  <si>
    <t>TC_REG_FF_05</t>
  </si>
  <si>
    <t>Register with empty mandatory fields (Freight-forwarders)</t>
  </si>
  <si>
    <t>1. Leave one or more mandatory fields empty on the Freight-forwarders tab
2. Click 'Sign Up'</t>
  </si>
  <si>
    <t>TC_REG_FF_06</t>
  </si>
  <si>
    <t>Register with invalid email format (Freight-forwarders)</t>
  </si>
  <si>
    <t>1. Enter an invalid email format
2. Fill remaining fields validly
3. Click 'Sign Up'</t>
  </si>
  <si>
    <t>Email: anjaliforwarders@, anjaliforwarders.com</t>
  </si>
  <si>
    <t>TC_REG_FF_07</t>
  </si>
  <si>
    <t>Register with an already-registered email (Freight-forwarders)</t>
  </si>
  <si>
    <t>1. Enter an email already registered on the platform (under either tab)
2. Fill remaining fields validly
3. Click 'Sign Up'</t>
  </si>
  <si>
    <t>Email: anjaliforwarders@yopmail.com (already registered)</t>
  </si>
  <si>
    <t>Registration is rejected with a clear error indicating the email is already in use</t>
  </si>
  <si>
    <t>TC_REG_FF_08</t>
  </si>
  <si>
    <t>Register with Password and Confirm Password mismatch (Freight-forwarders)</t>
  </si>
  <si>
    <t>Password: Test@1234; Confirm Password: Test@9999</t>
  </si>
  <si>
    <t>TC_REG_FF_09</t>
  </si>
  <si>
    <t>Register with password not meeting policy (Freight-forwarders)</t>
  </si>
  <si>
    <t>1. Enter a weak password not meeting complexity rules
2. Click 'Sign Up'</t>
  </si>
  <si>
    <t>Password: forward1</t>
  </si>
  <si>
    <t>Validation error shown listing missing password requirements; registration is blocked</t>
  </si>
  <si>
    <t>TC_REG_FF_10</t>
  </si>
  <si>
    <t>Cross-tab duplicate email check (registered under Airlines, retried under Freight-forwarders)</t>
  </si>
  <si>
    <t>1. Register successfully with an email under 'Airlines' tab
2. Switch to 'Freight-forwarders' tab
3. Attempt to register again using the same email</t>
  </si>
  <si>
    <t>Email: rehanairlines@yopmail.com (already used on Airlines tab)</t>
  </si>
  <si>
    <t>Registration is rejected as the email is already registered, regardless of which tab (Airlines/Freight-forwarders) it was originally registered under</t>
  </si>
  <si>
    <t>Confirm whether email uniqueness is enforced globally across both entity types</t>
  </si>
  <si>
    <t>TC_VERPOPUP_01</t>
  </si>
  <si>
    <t>Verification Email Pop-up</t>
  </si>
  <si>
    <t>Pop-up displays correctly after successful registration</t>
  </si>
  <si>
    <t>1. Complete registration with valid data on either Airlines or Freight-forwarders tab
2. Observe the pop-up shown</t>
  </si>
  <si>
    <t>Email: rehanairlines@yopmail.com</t>
  </si>
  <si>
    <t>Pop-up displays with heading 'Verification Email Sent!' and message referencing the masked registered email (e.g., 'reha****@yopmail.com'), along with a 'Close' button and a 'Resend' link</t>
  </si>
  <si>
    <t>TC_VERPOPUP_02</t>
  </si>
  <si>
    <t>Close' button dismisses the pop-up</t>
  </si>
  <si>
    <t>1. On the Verification Email pop-up, click 'Close' (X icon or Close button)</t>
  </si>
  <si>
    <t>Pop-up closes; user remains on/returns to the Register page underneath</t>
  </si>
  <si>
    <t>TC_VERPOPUP_03</t>
  </si>
  <si>
    <t>Verification email is actually received in the inbox</t>
  </si>
  <si>
    <t>1. Complete registration
2. Check the registered email inbox (and spam folder)</t>
  </si>
  <si>
    <t>A verification email is received within a reasonable time, containing a working 'Verify' link/button</t>
  </si>
  <si>
    <t>TC_VERPOPUP_04</t>
  </si>
  <si>
    <t>Resend' link/button does not trigger a new verification email (confirmed defect)</t>
  </si>
  <si>
    <t>1. On the Verification Email pop-up, click 'Resend'
2. Wait and check the registered inbox for a new email</t>
  </si>
  <si>
    <t>Clicking 'Resend' should trigger and deliver a new verification email to the registered address, with user-facing confirmation (e.g., toast/message) that it was resent</t>
  </si>
  <si>
    <t>Confirmed defect from the recording — Resend functionality is not working. Recommend logging this as a bug separately; this test case documents it for tracking/regression purposes</t>
  </si>
  <si>
    <t>TC_VERPOPUP_05</t>
  </si>
  <si>
    <t>Repeated clicks on non-functional 'Resend' do not cause errors or duplicate emails</t>
  </si>
  <si>
    <t>1. Click 'Resend' multiple times in succession</t>
  </si>
  <si>
    <t>Even though Resend is not functioning, repeated clicks should not throw an unhandled error, crash the pop-up, or queue multiple duplicate emails once the feature is fixed</t>
  </si>
  <si>
    <t>Re-verify once the Resend defect (TC_VERPOPUP_04) is fixed</t>
  </si>
  <si>
    <t>TC_VERPOPUP_06</t>
  </si>
  <si>
    <t>Pop-up email masking correctly obscures the registered email</t>
  </si>
  <si>
    <t>1. Complete registration
2. Observe the masked email format shown in the pop-up</t>
  </si>
  <si>
    <t>Email is masked in a consistent, readable pattern (e.g., 'reha****@yopmail.com') without exposing the full address</t>
  </si>
  <si>
    <t>TC_VERPOPUP_07</t>
  </si>
  <si>
    <t>Closing the pop-up and refreshing does not re-trigger a duplicate verification email</t>
  </si>
  <si>
    <t>1. Complete registration
2. Close the pop-up
3. Refresh the Register/landing page</t>
  </si>
  <si>
    <t>Refreshing the page after closing the pop-up does not resend or duplicate the verification email automatically</t>
  </si>
  <si>
    <t>TC_VERPOPUP_08</t>
  </si>
  <si>
    <t>Pop-up wording matches specified text exactly</t>
  </si>
  <si>
    <t>1. Complete registration
2. Read the exact pop-up message text</t>
  </si>
  <si>
    <t>Message reads exactly: "We've sent a verification email to your [masked email]. Please verify your account to continue." with the note about checking spam folder / resending</t>
  </si>
  <si>
    <t>TC_EMAILVER_01</t>
  </si>
  <si>
    <t>Email Verification Link</t>
  </si>
  <si>
    <t>Clicking Verify link in the email successfully verifies the account</t>
  </si>
  <si>
    <t>1. Open the verification email received after registration
2. Click the 'Verify' button/link inside it</t>
  </si>
  <si>
    <t>User is taken to a confirmation page displaying 'Your business e-mail has been verified' with a 'Log back in' button; account is marked as verified in the system</t>
  </si>
  <si>
    <t>TC_EMAILVER_02</t>
  </si>
  <si>
    <t>Log back in' button navigates to the Login screen</t>
  </si>
  <si>
    <t>1. After successful email verification, click 'Log back in' on the confirmation page</t>
  </si>
  <si>
    <t>User is navigated to the Login screen</t>
  </si>
  <si>
    <t>TC_EMAILVER_03</t>
  </si>
  <si>
    <t>Verification link works only once (cannot be reused)</t>
  </si>
  <si>
    <t>1. Click the Verify link once (account gets verified)
2. Click the same Verify link again from the email</t>
  </si>
  <si>
    <t>Same verification link, reused</t>
  </si>
  <si>
    <t>Second click either shows an 'already verified' message or safely redirects to Login, without re-processing or erroring out</t>
  </si>
  <si>
    <t>TC_EMAILVER_04</t>
  </si>
  <si>
    <t>Expired verification link is handled gracefully</t>
  </si>
  <si>
    <t>1. Wait until the verification link's validity window has passed (per configured expiry)
2. Click the expired link</t>
  </si>
  <si>
    <t>Expired verification link</t>
  </si>
  <si>
    <t>A clear 'This verification link has expired' message is shown, with guidance to request a new one (e.g., via Resend, once that is fixed) or contact support</t>
  </si>
  <si>
    <t>Confirm exact link expiry duration with Dev/BA; also dependent on Resend being functional (TC_VERPOPUP_04)</t>
  </si>
  <si>
    <t>TC_EMAILVER_05</t>
  </si>
  <si>
    <t>Tampered/invalid verification link is rejected</t>
  </si>
  <si>
    <t>1. Modify the verification token/link (e.g., change a character in the URL)
2. Attempt to open the tampered link</t>
  </si>
  <si>
    <t>Tampered verification URL</t>
  </si>
  <si>
    <t>System rejects the invalid token with an appropriate error message; account is not marked as verified</t>
  </si>
  <si>
    <t>TC_EMAILVER_06</t>
  </si>
  <si>
    <t>Verifying via link on a different browser/device than registration still succeeds</t>
  </si>
  <si>
    <t>1. Register on Device/Browser A
2. Open the verification email and click Verify on Device/Browser B</t>
  </si>
  <si>
    <t>Verification succeeds regardless of which browser/device the link is opened on, since verification is tied to the account/token, not the session</t>
  </si>
  <si>
    <t>TC_LOGIN_01</t>
  </si>
  <si>
    <t>Login with valid, verified credentials</t>
  </si>
  <si>
    <t>1. Navigate to Login page
2. Enter registered and verified email and correct password
3. Click 'Login'
4. Complete OTP verification on the OTP screen that follows (see 'Login - OTP Verification' screen)</t>
  </si>
  <si>
    <t>Email: rehanairlines@yopmail.com; Password: Test@1234</t>
  </si>
  <si>
    <t>Credentials are accepted and the OTP screen is displayed; after successful OTP verification, user is redirected to the Onboarding screen (since onboarding is not yet completed for a newly registered account)</t>
  </si>
  <si>
    <t>After entering the correct OTP, the user is successfully authenticated, and the application navigates to the Onboarding page.</t>
  </si>
  <si>
    <t>TC_LOGIN_02</t>
  </si>
  <si>
    <t>Create an Account' link navigates to Register page</t>
  </si>
  <si>
    <t>1. On Login page, click 'Create an Account' link</t>
  </si>
  <si>
    <t>User is navigated to the Register page</t>
  </si>
  <si>
    <t>Upon clicking the Create an Account button, the application successfully navigates to the Registration page.</t>
  </si>
  <si>
    <t>TC_LOGIN_03</t>
  </si>
  <si>
    <t>Password Show/Hide toggle works on Login page</t>
  </si>
  <si>
    <t>1. Enter a password in the Password field
2. Click the eye icon</t>
  </si>
  <si>
    <t>Masked password text toggles to plain text and back correctly</t>
  </si>
  <si>
    <t>Upon clicking the **Eye** icon, the password is displayed in plain text. Clicking the **Eye** icon again hides the password by masking it.</t>
  </si>
  <si>
    <t>TC_LOGIN_04</t>
  </si>
  <si>
    <t>Forgot Password?' link navigates to password recovery flow</t>
  </si>
  <si>
    <t>1. On Login page, click 'Forgot Password?' link</t>
  </si>
  <si>
    <t>User is navigated to the Forgot Password screen</t>
  </si>
  <si>
    <t>Upon clicking the forgot password button the application successfullly navigates to the forgot password page.</t>
  </si>
  <si>
    <t>TC_LOGIN_05</t>
  </si>
  <si>
    <t>Login redirects a fully onboarded user directly to Dashboard (not Onboarding)</t>
  </si>
  <si>
    <t>1. Login with an account that has already completed onboarding
2. Complete the OTP verification step that follows</t>
  </si>
  <si>
    <t>Email: onboarded.user@yopmail.com</t>
  </si>
  <si>
    <t>After OTP verification succeeds, user is redirected directly to the Dashboard; onboarding flow is not shown again</t>
  </si>
  <si>
    <t>Once the onboarding done, after OTP verification succeeds user redirect directly to the dashboard page.</t>
  </si>
  <si>
    <t>TC_LOGIN_06</t>
  </si>
  <si>
    <t>Login with incorrect password</t>
  </si>
  <si>
    <t>1. Enter a registered, verified email
2. Enter an incorrect password
3. Click 'Login'</t>
  </si>
  <si>
    <t>Email: rehanairlines@yopmail.com; Password: WrongPass1</t>
  </si>
  <si>
    <t>Login is rejected; error message shown: 'Invalid email or password'; user remains on Login page</t>
  </si>
  <si>
    <t>Login is rejected and displayed error message "Invalid credentials. Please check your email and password".</t>
  </si>
  <si>
    <t>TC_LOGIN_07</t>
  </si>
  <si>
    <t>Login with unregistered email</t>
  </si>
  <si>
    <t>1. Enter an email that has not been registered
2. Enter any password
3. Click 'Login'</t>
  </si>
  <si>
    <t>Email: unknown.user@yopmail.com</t>
  </si>
  <si>
    <t>Login is rejected with a generic error ('Invalid email or password') without confirming whether the email exists</t>
  </si>
  <si>
    <t>TC_LOGIN_08</t>
  </si>
  <si>
    <t>Login with empty Email/Password fields</t>
  </si>
  <si>
    <t>1. Leave Registered Email and/or Password fields empty
2. Click 'Login'</t>
  </si>
  <si>
    <t>Inline validation errors shown ('Email is required', 'Password is required'); login is not attempted</t>
  </si>
  <si>
    <t>Without entering email ID and password the user can't able to click the login button.</t>
  </si>
  <si>
    <t>TC_LOGIN_09</t>
  </si>
  <si>
    <t>Repeated failed login attempts are throttled/locked</t>
  </si>
  <si>
    <t>1. Attempt login with an incorrect password 5+ times consecutively</t>
  </si>
  <si>
    <t>Email: rehanairlines@yopmail.com; Password: incorrect (repeated)</t>
  </si>
  <si>
    <t>After a defined threshold, further attempts are blocked/throttled with an appropriate message</t>
  </si>
  <si>
    <t>TC_LOGIN_UNVER_01</t>
  </si>
  <si>
    <t>Login - Unverified Account</t>
  </si>
  <si>
    <t>Login attempt with registered but unverified account displays the verification pop-up</t>
  </si>
  <si>
    <t>1. Register a new account but do not click the verification link in the email
2. Attempt to login with that account's credentials</t>
  </si>
  <si>
    <t>Email: unverified.user@yopmail.com; Password: Test@1234</t>
  </si>
  <si>
    <t>Login is not completed; the verification pop-up (e.g., 'Please verify your account to continue') is displayed again, prompting the user to verify before proceeding</t>
  </si>
  <si>
    <t>TC_LOGIN_UNVER_02</t>
  </si>
  <si>
    <t>Resend' on the re-triggered verification pop-up during login also does not work</t>
  </si>
  <si>
    <t>1. Trigger the verification pop-up by attempting to login with an unverified account
2. Click 'Resend' on this pop-up</t>
  </si>
  <si>
    <t>Email: unverified.user@yopmail.com</t>
  </si>
  <si>
    <t>Clicking 'Resend' should trigger and deliver a new verification email</t>
  </si>
  <si>
    <t>TC_LOGIN_UNVER_03</t>
  </si>
  <si>
    <t>User can still complete verification via the original email and then log in successfully</t>
  </si>
  <si>
    <t>1. After the verification pop-up reappears at login, go to the registered email inbox (using the original verification email, since Resend is broken)
2. Click the original Verify link
3. Return and login again</t>
  </si>
  <si>
    <t>Verification succeeds using the original email's link; subsequent login attempt succeeds and navigates to Onboarding</t>
  </si>
  <si>
    <t xml:space="preserve">Once the account verification is completed, the user is able to log in successfully, and the application navigates to the **Onboarding** page.
</t>
  </si>
  <si>
    <t>TC_LOGIN_UNVER_04</t>
  </si>
  <si>
    <t>Verification pop-up on login clearly distinguishes from an incorrect-credentials error</t>
  </si>
  <si>
    <t>1. Attempt login with an unverified account using the correct password
2. Observe the exact message/pop-up shown</t>
  </si>
  <si>
    <t>Email: unverified.user@yopmail.com; Password: Test@1234 (correct)</t>
  </si>
  <si>
    <t>The system clearly shows a verification-required message/pop-up, distinct from an 'invalid credentials' error, so the user understands the actual reason login did not succeed</t>
  </si>
  <si>
    <t>TC_LOGIN_UNVER_05</t>
  </si>
  <si>
    <t>Closing the verification pop-up on login does not silently log the user in</t>
  </si>
  <si>
    <t>1. Trigger the verification pop-up via login with an unverified account
2. Click 'Close' on the pop-up without verifying</t>
  </si>
  <si>
    <t>Closing the pop-up returns the user to the Login page without granting access; the user remains logged out until verification is completed</t>
  </si>
  <si>
    <t>The Login API accepts the login request only after the account verification is completed. Upon successful authentication, the user is redirected to the Onboarding page.</t>
  </si>
  <si>
    <t>TC_LOGIN_OTP_01</t>
  </si>
  <si>
    <t>Login - OTP Verification</t>
  </si>
  <si>
    <t>OTP screen is triggered after correct email/password on every login</t>
  </si>
  <si>
    <t>1. Navigate to Login page
2. Enter registered, verified email and correct password
3. Click 'Login'</t>
  </si>
  <si>
    <t>An OTP verification screen/modal is displayed immediately after credentials are accepted, on every login attempt (not just the first)</t>
  </si>
  <si>
    <t>Upon entering a valid Email ID and Password and clicking the Login button, the OTP Verification pop-up is displayed successfully.</t>
  </si>
  <si>
    <t>TC_LOGIN_OTP_02</t>
  </si>
  <si>
    <t>Correct OTP entered within validity window verifies successfully</t>
  </si>
  <si>
    <t>1. Retrieve the OTP sent to the registered email/mobile
2. Enter all digits correctly on the OTP screen
3. Click Verify</t>
  </si>
  <si>
    <t>OTP: 483920</t>
  </si>
  <si>
    <t>OTP is verified successfully; user proceeds to Onboarding (if incomplete) or Dashboard (if already onboarded)</t>
  </si>
  <si>
    <t>Once the OTP verification is completed successfully, the user is redirected to the respective page based on their account status (e.g., Onboarding or Dashboard).</t>
  </si>
  <si>
    <t>TC_LOGIN_OTP_03</t>
  </si>
  <si>
    <t>Verify button enabled only once all OTP digits are entered</t>
  </si>
  <si>
    <t>1. Enter fewer than the required digits
2. Observe Verify button state
3. Enter the final digit
4. Observe Verify button state</t>
  </si>
  <si>
    <t>OTP: 4839 (partial), then 483920 (complete)</t>
  </si>
  <si>
    <t>Verify button is disabled with partial input and becomes enabled only once all digits are entered</t>
  </si>
  <si>
    <t>On the OTP Verification screen, the action button incorrectly displays the text "Login" instead of "Verify".</t>
  </si>
  <si>
    <t>TC_LOGIN_OTP_04</t>
  </si>
  <si>
    <t>Auto-focus moves to next box as each digit is entered</t>
  </si>
  <si>
    <t>1. Type a digit in the first OTP box
2. Observe cursor/focus position</t>
  </si>
  <si>
    <t>Digit: 4</t>
  </si>
  <si>
    <t>Focus automatically advances to the next box after each digit is entered</t>
  </si>
  <si>
    <t xml:space="preserve">After the user enters a digit in the first OTP input field, the cursor automatically moves to the next OTP input field, allowing the user to continue entering the remaining digits.
</t>
  </si>
  <si>
    <t>TC_LOGIN_OTP_05</t>
  </si>
  <si>
    <t>Resend OTP after timer expiry sends a new OTP</t>
  </si>
  <si>
    <t>1. Wait for the resend countdown to reach 00:00
2. Click 'Resend OTP'</t>
  </si>
  <si>
    <t>A new OTP is sent to the registered email/mobile; countdown resets; the previous OTP is invalidated</t>
  </si>
  <si>
    <t>Once the OTP expires, the appropriate expiration error message is displayed. After clicking the Verify button again, a new OTP is generated and the OTP message is updated accordingly.</t>
  </si>
  <si>
    <t>TC_LOGIN_OTP_06</t>
  </si>
  <si>
    <t>Pasting a full OTP auto-fills all boxes correctly</t>
  </si>
  <si>
    <t>1. Copy the full OTP received
2. Paste into the first OTP box</t>
  </si>
  <si>
    <t>OTP: 483920 (pasted)</t>
  </si>
  <si>
    <t>All OTP boxes are auto-filled correctly in order; Verify button becomes enabled</t>
  </si>
  <si>
    <t>When the user copies the OTP and pastes it into the OTP Verification pop-up, all six OTP digits are automatically populated in the correct order, and the Verify button is enabled successfully.</t>
  </si>
  <si>
    <t>TC_LOGIN_OTP_07</t>
  </si>
  <si>
    <t>Successful OTP verification correctly routes based on onboarding status</t>
  </si>
  <si>
    <t>1. Complete OTP verification for a newly registered account (onboarding incomplete)
2. Repeat for an account that has already completed onboarding</t>
  </si>
  <si>
    <t>Account A: onboarding incomplete; Account B: onboarding complete</t>
  </si>
  <si>
    <t>Account A is routed to the Onboarding screen; Account B is routed directly to the Dashboard, both immediately after OTP verification</t>
  </si>
  <si>
    <t>Account A and Account B are routed the correct the respective page.</t>
  </si>
  <si>
    <t>TC_LOGIN_OTP_08</t>
  </si>
  <si>
    <t>Incorrect OTP is rejected</t>
  </si>
  <si>
    <t>1. Enter an incorrect OTP
2. Click Verify</t>
  </si>
  <si>
    <t>Sent OTP: 483920; Entered: 111111</t>
  </si>
  <si>
    <t>Error message shown ('Incorrect OTP, please try again'); login is not completed; user remains on the OTP screen</t>
  </si>
  <si>
    <t>When an invalid OTP is entered and the Verify button is clicked, the application displays the error message: "Incorrect OTP. Please try again."</t>
  </si>
  <si>
    <t>TC_LOGIN_OTP_09</t>
  </si>
  <si>
    <t>Expired OTP is rejected</t>
  </si>
  <si>
    <t>1. Wait until the OTP's validity window has passed
2. Enter the previously valid OTP
3. Click Verify</t>
  </si>
  <si>
    <t>Expired OTP: 483920</t>
  </si>
  <si>
    <t>Error message shown ('OTP expired, please resend'); Verify is blocked; login is not completed</t>
  </si>
  <si>
    <t>When an expired OTP is entered and the Verify button is clicked, the OTP verification is rejected, and the application displays the error message: "OTP has expired. Please request a new one."</t>
  </si>
  <si>
    <t>TC_LOGIN_OTP_10</t>
  </si>
  <si>
    <t>Repeated incorrect OTP attempts lock further attempts</t>
  </si>
  <si>
    <t>1. Enter an incorrect OTP 5 times consecutively
2. Attempt a 6th entry</t>
  </si>
  <si>
    <t>Incorrect OTP entered repeatedly</t>
  </si>
  <si>
    <t>After the defined threshold, further OTP attempts are blocked/locked with a message; user must request a new OTP via Resend</t>
  </si>
  <si>
    <t>When an invalid OTP is entered and the Verify button is clicked repeatedly (up to five times), the application consistently displays the error message: "Incorrect OTP. Please try again."</t>
  </si>
  <si>
    <t>Confirm exact lockout threshold and cooldown period with Dev/BA</t>
  </si>
  <si>
    <t>TC_LOGIN_OTP_11</t>
  </si>
  <si>
    <t>Resend is disabled while the countdown timer is still active</t>
  </si>
  <si>
    <t>1. Attempt to click 'Resend OTP' before the countdown reaches 00:00</t>
  </si>
  <si>
    <t>Resend action is disabled/not clickable until the countdown timer reaches zero</t>
  </si>
  <si>
    <t>Once the OTP timer expires, the Resend OTP button is enabled, allowing the user to request a new OTP.</t>
  </si>
  <si>
    <t>TC_LOGIN_OTP_12</t>
  </si>
  <si>
    <t>Verify is blocked with an incomplete OTP</t>
  </si>
  <si>
    <t>1. Enter only part of the OTP
2. Attempt to click Verify</t>
  </si>
  <si>
    <t>OTP: 483 (incomplete)</t>
  </si>
  <si>
    <t>Verify remains blocked or shows a validation message ('Please enter all digits'); login is not completed</t>
  </si>
  <si>
    <t>The Verify button remains disabled until the user enters all six OTP digits. Once a six-digit OTP is entered, the Verify button is enabled.</t>
  </si>
  <si>
    <t>TC_LOGIN_OTP_13</t>
  </si>
  <si>
    <t>Non-numeric characters are rejected in OTP boxes</t>
  </si>
  <si>
    <t>1. Attempt to type letters or special characters into an OTP box</t>
  </si>
  <si>
    <t>Input: 'a', '#', ' '</t>
  </si>
  <si>
    <t>Non-numeric characters are not accepted; only digits 0-9 can be entered</t>
  </si>
  <si>
    <t>The OTP input field accepts only numeric characters. Non-numeric characters are rejected and cannot be entered into the OTP field.</t>
  </si>
  <si>
    <t>TC_LOGIN_OTP_14</t>
  </si>
  <si>
    <t>Closing/abandoning the OTP screen requires re-login and a fresh OTP</t>
  </si>
  <si>
    <t>1. Reach the OTP screen after entering correct credentials
2. Close the browser tab/navigate away without completing OTP
3. Return and log in again</t>
  </si>
  <si>
    <t>The prior OTP is invalidated; the user must re-enter credentials and receive/enter a fresh OTP; the abandoned session does not grant access</t>
  </si>
  <si>
    <t>After closing the OTP Verification pop-up and attempting to log in again before the previous OTP expires, the existing OTP timer continues from where it left off, and no new OTP is generated. Once the previous OTP expires, logging in again generates a new OTP, and a new OTP timer starts.</t>
  </si>
  <si>
    <t>TC_LOGIN_OTP_15</t>
  </si>
  <si>
    <t>OTP is tied to the correct user/session and cannot be reused across accounts</t>
  </si>
  <si>
    <t>1. Trigger an OTP for Account A
2. Attempt to use Account A's OTP while logging in as Account B</t>
  </si>
  <si>
    <t>Account A's OTP entered during Account B's login attempt</t>
  </si>
  <si>
    <t>OTP is rejected as invalid for Account B; OTPs are strictly scoped to the account/session that generated them</t>
  </si>
  <si>
    <t>The OTP is rejected as invalid when entered for Account B, and the application displays the appropriate validation error. The OTP is accepted only for the account/session in which it was generated.</t>
  </si>
  <si>
    <t>TC_ONBOARD_REDIR_01</t>
  </si>
  <si>
    <t>Post-Login Onboarding Redirect</t>
  </si>
  <si>
    <t>Newly verified and logged-in user is redirected to the Onboarding screen</t>
  </si>
  <si>
    <t>1. Complete registration and email verification
2. Login with the verified account
3. Complete OTP verification</t>
  </si>
  <si>
    <t>User is redirected to the Onboarding screen (Business Details / Step 1) immediately after OTP verification, since onboarding has not yet been completed</t>
  </si>
  <si>
    <t>After successful OTP verification, the user is redirected to the Onboarding screen (Business Details – Step 1), as the onboarding process has not yet been completed.</t>
  </si>
  <si>
    <t>TC_ONBOARD_REDIR_02</t>
  </si>
  <si>
    <t>Onboarding redirect works consistently for both Airlines and Freight-forwarders registrations</t>
  </si>
  <si>
    <t>1. Complete registration, verification, login, and OTP verification separately for an Airlines account and a Freight-forwarders account
2. Observe the post-OTP redirect for each</t>
  </si>
  <si>
    <t>Airlines account + Freight-forwarders account</t>
  </si>
  <si>
    <t>Both account types are redirected to the Onboarding screen consistently after OTP verification on their first login, with no difference in behaviour based on entity type</t>
  </si>
  <si>
    <t>After successful OTP verification on the first login, both account types are consistently redirected to the Onboarding screen, with identical behavior regardless of the selected entity type.</t>
  </si>
  <si>
    <t>TC_ONBOARD_REDIR_03</t>
  </si>
  <si>
    <t>Attempting to access Dashboard directly before completing onboarding redirects back to Onboarding</t>
  </si>
  <si>
    <t>1. Login with a newly verified account (onboarding incomplete)
2. Directly navigate to the Dashboard URL</t>
  </si>
  <si>
    <t>URL: /dashboard</t>
  </si>
  <si>
    <t>User is redirected back to the Onboarding screen; Dashboard content is not accessible until onboarding is complete</t>
  </si>
  <si>
    <t>The user is redirected back to the Onboarding screen, and the Dashboard remains inaccessible until the onboarding process is completed.</t>
  </si>
  <si>
    <t>TC_ONBOARD_REDIR_04</t>
  </si>
  <si>
    <t>Logging out and back in during incomplete onboarding resumes at the correct step</t>
  </si>
  <si>
    <t>1. Login and start onboarding (complete Step 1)
2. Logout
3. Login again with the same account</t>
  </si>
  <si>
    <t>User is redirected back into the Onboarding flow at the correct incomplete step, with previously entered data intact</t>
  </si>
  <si>
    <t>The user is redirected back to the correct incomplete step in the Onboarding flow, and all previously entered data is retained successfully.</t>
  </si>
  <si>
    <t>TC_FP_EMAIL_01</t>
  </si>
  <si>
    <t>Forgot Password - Email</t>
  </si>
  <si>
    <t>Submit a valid registered email successfully</t>
  </si>
  <si>
    <t>1. Navigate to Login page
2. Click 'Forgot Password?'
3. Enter a valid registered email
4. Click 'Submit'</t>
  </si>
  <si>
    <t>Email: produbaiairlines@yopmail.com</t>
  </si>
  <si>
    <t>Request is accepted; user is navigated to the OTP verification screen; an OTP is sent to the registered email</t>
  </si>
  <si>
    <t>TC_FP_EMAIL_02</t>
  </si>
  <si>
    <t>Back to Login' link navigates to Login screen</t>
  </si>
  <si>
    <t>1. On the Forgot Password screen, click 'Back to Login'</t>
  </si>
  <si>
    <t>User is navigated to the Login screen without submitting the form</t>
  </si>
  <si>
    <t>TC_FP_EMAIL_03</t>
  </si>
  <si>
    <t>Submit button is enabled once a syntactically valid email is entered</t>
  </si>
  <si>
    <t>1. Enter a valid email format
2. Observe the Submit button state</t>
  </si>
  <si>
    <t>Email: test@yopmail.com</t>
  </si>
  <si>
    <t>Submit button is enabled/clickable</t>
  </si>
  <si>
    <t>TC_FP_EMAIL_04</t>
  </si>
  <si>
    <t>Page heading and instructions display correctly</t>
  </si>
  <si>
    <t>1. Navigate to the Forgot Password screen
2. Read the heading and instruction text</t>
  </si>
  <si>
    <t>Heading reads 'Forgot password' with instruction text: 'Please enter your registered email address below. We'll send you a link to reset your password.'</t>
  </si>
  <si>
    <t>TC_FP_EMAIL_05</t>
  </si>
  <si>
    <t>Submit with an unregistered email</t>
  </si>
  <si>
    <t>1. Enter an email that is not registered on the platform
2. Click 'Submit'</t>
  </si>
  <si>
    <t>A generic message is shown ('If this email is registered, you will receive a reset link/OTP') without confirming whether the email exists; no OTP is actually sent</t>
  </si>
  <si>
    <t>Confirm actual behaviour — recording only showed the registered-email happy path</t>
  </si>
  <si>
    <t>TC_FP_EMAIL_06</t>
  </si>
  <si>
    <t>Submit with an empty email field</t>
  </si>
  <si>
    <t>1. Leave the Registered Email field empty
2. Click 'Submit'</t>
  </si>
  <si>
    <t>(empty)</t>
  </si>
  <si>
    <t>Inline validation error shown: 'Email is required'; form is not submitted</t>
  </si>
  <si>
    <t>TC_FP_EMAIL_07</t>
  </si>
  <si>
    <t>Submit with an invalid email format</t>
  </si>
  <si>
    <t>1. Enter a malformed email (missing '@', missing domain, no dot)
2. Click 'Submit'</t>
  </si>
  <si>
    <t>Email: produbaiairlines, produbaiairlines@domain</t>
  </si>
  <si>
    <t>Inline validation error shown: 'Enter a valid email address'; Submit is blocked</t>
  </si>
  <si>
    <t>TC_FP_EMAIL_08</t>
  </si>
  <si>
    <t>Repeated rapid submissions for the same email are rate-limited</t>
  </si>
  <si>
    <t>1. Submit the Forgot Password request for the same email 5+ times within a short window</t>
  </si>
  <si>
    <t>After a defined threshold, further requests are throttled/blocked with a 'Please try again later' message</t>
  </si>
  <si>
    <t>TC_FP_EMAIL_09</t>
  </si>
  <si>
    <t>Script/SQL injection attempt in the email field</t>
  </si>
  <si>
    <t>1. Enter a script/SQL injection payload in the email field
2. Click 'Submit'</t>
  </si>
  <si>
    <t>Email: &lt;script&gt;alert(1)&lt;/script&gt;@test.com</t>
  </si>
  <si>
    <t>Input is rejected/sanitized as invalid email format; no script executes; no server error is exposed</t>
  </si>
  <si>
    <t>TC_FP_EMAIL_10</t>
  </si>
  <si>
    <t>Leading/trailing spaces in the email field</t>
  </si>
  <si>
    <t>1. Enter an email with leading/trailing spaces
2. Click 'Submit'</t>
  </si>
  <si>
    <t xml:space="preserve">  produbaiairlines@yopmail.com  '</t>
  </si>
  <si>
    <t>Whitespace is trimmed automatically and processed correctly, or a clear validation error is shown consistently</t>
  </si>
  <si>
    <t>TC_FP_OTP_01</t>
  </si>
  <si>
    <t>OTP Verification</t>
  </si>
  <si>
    <t>Correct OTP entered successfully verifies and proceeds</t>
  </si>
  <si>
    <t>1. Retrieve the OTP from the registered email inbox
2. Enter all digits correctly on the OTP screen
3. Click 'Verify'</t>
  </si>
  <si>
    <t>OTP received via yopmail inbox</t>
  </si>
  <si>
    <t>OTP is verified successfully; user is navigated to the 'Change your password' screen</t>
  </si>
  <si>
    <t>TC_FP_OTP_02</t>
  </si>
  <si>
    <t>1. Copy the OTP from the received email
2. Paste into the first OTP box</t>
  </si>
  <si>
    <t>Pasted OTP value</t>
  </si>
  <si>
    <t>TC_FP_OTP_03</t>
  </si>
  <si>
    <t>X' close icon dismisses the OTP modal</t>
  </si>
  <si>
    <t>1. On the OTP screen, click the 'X' icon</t>
  </si>
  <si>
    <t>OTP modal closes; user returns to the Forgot Password (email entry) screen underneath</t>
  </si>
  <si>
    <t>TC_FP_OTP_04</t>
  </si>
  <si>
    <t>OTP: partial then complete</t>
  </si>
  <si>
    <t>TC_FP_OTP_05</t>
  </si>
  <si>
    <t>Single digit entry</t>
  </si>
  <si>
    <t>TC_FP_OTP_06</t>
  </si>
  <si>
    <t>A new OTP is sent to the registered email; countdown resets; the previous OTP is invalidated</t>
  </si>
  <si>
    <t>Not shown in this recording — verify separately; confirm this is unaffected by the Resend defect confirmed on the Register verification pop-up</t>
  </si>
  <si>
    <t>TC_FP_OTP_07</t>
  </si>
  <si>
    <t>1. Enter an incorrect OTP
2. Click 'Verify'</t>
  </si>
  <si>
    <t>Incorrect OTP entered</t>
  </si>
  <si>
    <t>Error message shown ('Incorrect OTP, please try again'); user remains on the OTP screen</t>
  </si>
  <si>
    <t>TC_FP_OTP_08</t>
  </si>
  <si>
    <t>1. Wait until the OTP's validity window has passed
2. Enter the previously valid OTP
3. Click 'Verify'</t>
  </si>
  <si>
    <t>Expired OTP</t>
  </si>
  <si>
    <t>Error message shown ('OTP expired, please resend'); Verify is blocked</t>
  </si>
  <si>
    <t>Confirm exact OTP validity duration with Dev/BA</t>
  </si>
  <si>
    <t>TC_FP_OTP_09</t>
  </si>
  <si>
    <t>After a defined threshold, further attempts are blocked/locked with a message; user must request a new OTP via Resend</t>
  </si>
  <si>
    <t>Confirm exact lockout threshold with Dev/BA</t>
  </si>
  <si>
    <t>TC_FP_OTP_10</t>
  </si>
  <si>
    <t>Resend is disabled while the countdown timer is active</t>
  </si>
  <si>
    <t>Resend action is disabled/not clickable until the countdown reaches zero</t>
  </si>
  <si>
    <t>TC_FP_OTP_11</t>
  </si>
  <si>
    <t>1. Enter only part of the OTP
2. Attempt to click 'Verify'</t>
  </si>
  <si>
    <t>Incomplete OTP</t>
  </si>
  <si>
    <t>Verify remains blocked or shows a validation message; the request is not submitted</t>
  </si>
  <si>
    <t>TC_FP_OTP_12</t>
  </si>
  <si>
    <t>TC_FP_OTP_13</t>
  </si>
  <si>
    <t>Closing the OTP modal and restarting Forgot Password invalidates the earlier OTP</t>
  </si>
  <si>
    <t>1. Close the OTP modal
2. Restart the Forgot Password flow for the same email
3. Attempt to use the original OTP</t>
  </si>
  <si>
    <t>Original OTP</t>
  </si>
  <si>
    <t>The original OTP no longer works; only the newly generated OTP is valid</t>
  </si>
  <si>
    <t>TC_FP_CHANGEPW_01</t>
  </si>
  <si>
    <t>Change Password</t>
  </si>
  <si>
    <t>Valid new password with matching confirm succeeds</t>
  </si>
  <si>
    <t>1. Enter a valid new password
2. Enter the same value in Confirm Password
3. Click 'Change Password'</t>
  </si>
  <si>
    <t>New Password: Test123@</t>
  </si>
  <si>
    <t>Password is updated successfully; confirmation shown; user is redirected to Login</t>
  </si>
  <si>
    <t>TC_FP_CHANGEPW_02</t>
  </si>
  <si>
    <t>Show/Hide password toggle works for both fields</t>
  </si>
  <si>
    <t>1. Enter a value in the new password field
2. Click the eye icon
3. Repeat for Confirm Password</t>
  </si>
  <si>
    <t>Password: Test123@</t>
  </si>
  <si>
    <t>Each field's masked text toggles to plain text and back independently when its eye icon is clicked</t>
  </si>
  <si>
    <t>TC_FP_CHANGEPW_03</t>
  </si>
  <si>
    <t>Login' link on Change Password screen navigates to Login</t>
  </si>
  <si>
    <t>1. Click the 'Login' link next to 'Back to Login ?'</t>
  </si>
  <si>
    <t>User is navigated to the Login screen without changing the password</t>
  </si>
  <si>
    <t>TC_FP_CHANGEPW_04</t>
  </si>
  <si>
    <t>New password and confirm password mismatch</t>
  </si>
  <si>
    <t>1. Enter a valid new password
2. Enter a different value in Confirm Password
3. Click 'Change Password'</t>
  </si>
  <si>
    <t>New Password: Test123@; Confirm: Test456@</t>
  </si>
  <si>
    <t>Validation error shown ('Passwords do not match'); password is not updated</t>
  </si>
  <si>
    <t>TC_FP_CHANGEPW_05</t>
  </si>
  <si>
    <t>Submit with both fields empty</t>
  </si>
  <si>
    <t>1. Leave both password fields empty
2. Click 'Change Password'</t>
  </si>
  <si>
    <t>(empty, empty)</t>
  </si>
  <si>
    <t>Inline validation errors shown for both fields; form is not submitted</t>
  </si>
  <si>
    <t>TC_FP_CHANGEPW_06</t>
  </si>
  <si>
    <t>Password below minimum length</t>
  </si>
  <si>
    <t>1. Enter a password shorter than the minimum required length in both fields
2. Click 'Change Password'</t>
  </si>
  <si>
    <t>New Password: Ab1@</t>
  </si>
  <si>
    <t>Validation error shown stating the minimum length requirement; password is not updated</t>
  </si>
  <si>
    <t>Confirm exact minimum length policy with BA/Dev</t>
  </si>
  <si>
    <t>TC_FP_CHANGEPW_07</t>
  </si>
  <si>
    <t>Password missing required character types</t>
  </si>
  <si>
    <t>1. Enter a password missing a required character category (e.g., no special character or number)
2. Click 'Change Password'</t>
  </si>
  <si>
    <t>New Password: producdubai</t>
  </si>
  <si>
    <t>Validation error shown listing the missing requirement(s); password is not updated</t>
  </si>
  <si>
    <t>Confirm exact password complexity policy with BA/Dev</t>
  </si>
  <si>
    <t>TC_FP_CHANGEPW_08</t>
  </si>
  <si>
    <t>Reusing the previous password</t>
  </si>
  <si>
    <t>1. Enter the account's current password as the 'new' password in both fields
2. Click 'Change Password'</t>
  </si>
  <si>
    <t>Current password reused as new password</t>
  </si>
  <si>
    <t>Error shown ('New password must be different from the current password'); update is blocked</t>
  </si>
  <si>
    <t>Confirm whether password-reuse restriction is part of FlexCapPro's policy</t>
  </si>
  <si>
    <t>TC_FP_CHANGEPW_09</t>
  </si>
  <si>
    <t>Session/reset token expiry between OTP verification and password change</t>
  </si>
  <si>
    <t>1. Verify OTP successfully
2. Wait beyond the reset-session expiry window
3. Attempt to change the password</t>
  </si>
  <si>
    <t>System rejects the request with a session-expired message; user must restart the Forgot Password flow</t>
  </si>
  <si>
    <t>Confirm exact session validity duration with Dev</t>
  </si>
  <si>
    <t>TC_FP_CHANGEPW_10</t>
  </si>
  <si>
    <t>Direct access to Change Password screen without completing OTP verification</t>
  </si>
  <si>
    <t>1. Attempt to directly navigate to the Change Password screen URL/state without verifying an OTP first</t>
  </si>
  <si>
    <t>Access is blocked/redirected to the Forgot Password screen; password cannot be changed without prior OTP verification</t>
  </si>
  <si>
    <t>TC_BIZ_NAME_01</t>
  </si>
  <si>
    <t>Business Details - Business Info</t>
  </si>
  <si>
    <t>Enter valid value in 'Organisation Name' field</t>
  </si>
  <si>
    <t>1. Navigate to the step containing 'Organisation Name'
2. Enter a valid value
3. Proceed / Save</t>
  </si>
  <si>
    <t>Organisation Name: Rehan Airlines</t>
  </si>
  <si>
    <t>Value is accepted; no validation error is shown for 'Organisation Name'</t>
  </si>
  <si>
    <t>TC_BIZ_NAME_02</t>
  </si>
  <si>
    <t>Leave 'Organisation Name' empty and attempt to proceed</t>
  </si>
  <si>
    <t>1. Leave 'Organisation Name' field empty
2. Click 'Save and Proceed'</t>
  </si>
  <si>
    <t>Organisation Name: (empty)</t>
  </si>
  <si>
    <t>Inline validation error shown: 'Organisation Name is required'; user cannot proceed to the next step</t>
  </si>
  <si>
    <t>TC_BIZ_NAME_03</t>
  </si>
  <si>
    <t>Enter script/special-character injection in 'Organisation Name'</t>
  </si>
  <si>
    <t>1. Enter a script/SQL injection payload in 'Organisation Name'
2. Attempt to proceed</t>
  </si>
  <si>
    <t>Organisation Name: &lt;script&gt;alert(1)&lt;/script&gt;</t>
  </si>
  <si>
    <t>TC_BIZ_NAME_04</t>
  </si>
  <si>
    <t>Enter value exceeding maximum length in 'Organisation Name'</t>
  </si>
  <si>
    <t>1. Enter an excessively long value (e.g., 300+ characters) in 'Organisation Name'
2. Attempt to proceed</t>
  </si>
  <si>
    <t>Organisation Name: 300+ character string</t>
  </si>
  <si>
    <t>Field enforces a sensible maximum length; validation error shown or input blocked beyond the limit</t>
  </si>
  <si>
    <t>Assumed — confirm exact validation rule/format with BA/Dev (not fully visible in recording)</t>
  </si>
  <si>
    <t>TC_BIZ_TRADE_01</t>
  </si>
  <si>
    <t>Enter valid alphanumeric value in 'Trade/RE Reference Number'</t>
  </si>
  <si>
    <t>1. Navigate to the step containing 'Trade/RE Reference Number'
2. Enter a valid value matching the expected format
3. Proceed / Save</t>
  </si>
  <si>
    <t>Trade/RE Reference Number: RE7437853878348</t>
  </si>
  <si>
    <t>Value is accepted; no validation error is shown for 'Trade/RE Reference Number'</t>
  </si>
  <si>
    <t>TC_BIZ_TRADE_02</t>
  </si>
  <si>
    <t>Leave 'Trade/RE Reference Number' empty and attempt to proceed</t>
  </si>
  <si>
    <t>1. Leave 'Trade/RE Reference Number' field empty
2. Click 'Save and Proceed'</t>
  </si>
  <si>
    <t>Trade/RE Reference Number: (empty)</t>
  </si>
  <si>
    <t>Inline validation error shown: 'Trade/RE Reference Number is required'; user cannot proceed</t>
  </si>
  <si>
    <t>TC_BIZ_TRADE_03</t>
  </si>
  <si>
    <t>Enter value with invalid format/characters in 'Trade/RE Reference Number'</t>
  </si>
  <si>
    <t>1. Enter a value that does not match the expected format for 'Trade/RE Reference Number' (e.g., RE@#$123)
2. Attempt to proceed</t>
  </si>
  <si>
    <t>Trade/RE Reference Number: RE@#$123</t>
  </si>
  <si>
    <t>Validation error shown indicating the expected format for 'Trade/RE Reference Number'; user cannot proceed with invalid input</t>
  </si>
  <si>
    <t>TC_BIZ_TRADE_04</t>
  </si>
  <si>
    <t>Enter duplicate/already-used value in 'Trade/RE Reference Number' (if uniqueness applies)</t>
  </si>
  <si>
    <t>1. Enter a value for 'Trade/RE Reference Number' that is already registered/used elsewhere in the system
2. Attempt to proceed</t>
  </si>
  <si>
    <t>Trade/RE Reference Number: duplicate value</t>
  </si>
  <si>
    <t>Validation error shown if uniqueness is enforced for this field; otherwise value is accepted normally</t>
  </si>
  <si>
    <t>TC_BIZ_TRN_01</t>
  </si>
  <si>
    <t>Enter valid alphanumeric value in 'Tax Registration Number (TRN)'</t>
  </si>
  <si>
    <t>1. Navigate to the step containing 'Tax Registration Number (TRN)'
2. Enter a valid value matching the expected format
3. Proceed / Save</t>
  </si>
  <si>
    <t>Tax Registration Number (TRN): REH93949234</t>
  </si>
  <si>
    <t>Value is accepted; no validation error is shown for 'Tax Registration Number (TRN)'</t>
  </si>
  <si>
    <t>TC_BIZ_TRN_02</t>
  </si>
  <si>
    <t>Leave 'Tax Registration Number (TRN)' empty and attempt to proceed</t>
  </si>
  <si>
    <t>1. Leave 'Tax Registration Number (TRN)' field empty
2. Click 'Save and Proceed'</t>
  </si>
  <si>
    <t>Tax Registration Number (TRN): (empty)</t>
  </si>
  <si>
    <t>Inline validation error shown: 'Tax Registration Number (TRN) is required'; user cannot proceed</t>
  </si>
  <si>
    <t>TC_BIZ_TRN_03</t>
  </si>
  <si>
    <t>Enter value with invalid format/characters in 'Tax Registration Number (TRN)'</t>
  </si>
  <si>
    <t>1. Enter a value that does not match the expected format for 'Tax Registration Number (TRN)' (e.g., REH939)
2. Attempt to proceed</t>
  </si>
  <si>
    <t>Tax Registration Number (TRN): REH939</t>
  </si>
  <si>
    <t>Validation error shown indicating the expected format for 'Tax Registration Number (TRN)'; user cannot proceed with invalid input</t>
  </si>
  <si>
    <t>TC_BIZ_TRN_04</t>
  </si>
  <si>
    <t>Enter duplicate/already-used value in 'Tax Registration Number (TRN)' (if uniqueness applies)</t>
  </si>
  <si>
    <t>1. Enter a value for 'Tax Registration Number (TRN)' that is already registered/used elsewhere in the system
2. Attempt to proceed</t>
  </si>
  <si>
    <t>Tax Registration Number (TRN): duplicate value</t>
  </si>
  <si>
    <t>TC_BIZ_ADDR1_01</t>
  </si>
  <si>
    <t>Enter valid value in 'Address Line 1' field</t>
  </si>
  <si>
    <t>1. Navigate to the step containing 'Address Line 1'
2. Enter a valid value
3. Proceed / Save</t>
  </si>
  <si>
    <t>Address Line 1: PO-47 Street, Haba Mall, 5th floor</t>
  </si>
  <si>
    <t>Value is accepted; no validation error is shown for 'Address Line 1'</t>
  </si>
  <si>
    <t>TC_BIZ_ADDR1_02</t>
  </si>
  <si>
    <t>Leave 'Address Line 1' empty and attempt to proceed</t>
  </si>
  <si>
    <t>1. Leave 'Address Line 1' field empty
2. Click 'Save and Proceed'</t>
  </si>
  <si>
    <t>Address Line 1: (empty)</t>
  </si>
  <si>
    <t>Inline validation error shown: 'Address Line 1 is required'; user cannot proceed to the next step</t>
  </si>
  <si>
    <t>TC_BIZ_ADDR1_03</t>
  </si>
  <si>
    <t>Enter script/special-character injection in 'Address Line 1'</t>
  </si>
  <si>
    <t>1. Enter a script/SQL injection payload in 'Address Line 1'
2. Attempt to proceed</t>
  </si>
  <si>
    <t>Address Line 1: &lt;script&gt;alert(1)&lt;/script&gt;</t>
  </si>
  <si>
    <t>TC_BIZ_ADDR1_04</t>
  </si>
  <si>
    <t>Enter value exceeding maximum length in 'Address Line 1'</t>
  </si>
  <si>
    <t>1. Enter an excessively long value (e.g., 300+ characters) in 'Address Line 1'
2. Attempt to proceed</t>
  </si>
  <si>
    <t>Address Line 1: 300+ character string</t>
  </si>
  <si>
    <t>TC_BIZ_ADDR2_01</t>
  </si>
  <si>
    <t>Enter valid value in 'Address Line 2' field</t>
  </si>
  <si>
    <t>1. Navigate to the step containing 'Address Line 2'
2. Enter a valid value
3. Proceed / Save</t>
  </si>
  <si>
    <t>Address Line 2: Near Al Barsha</t>
  </si>
  <si>
    <t>Value is accepted; no validation error is shown for 'Address Line 2'</t>
  </si>
  <si>
    <t>TC_BIZ_ADDR2_03</t>
  </si>
  <si>
    <t>Enter script/special-character injection in 'Address Line 2'</t>
  </si>
  <si>
    <t>1. Enter a script/SQL injection payload in 'Address Line 2'
2. Attempt to proceed</t>
  </si>
  <si>
    <t>Address Line 2: &lt;script&gt;alert(1)&lt;/script&gt;</t>
  </si>
  <si>
    <t>TC_BIZ_ADDR2_04</t>
  </si>
  <si>
    <t>Enter value exceeding maximum length in 'Address Line 2'</t>
  </si>
  <si>
    <t>1. Enter an excessively long value (e.g., 300+ characters) in 'Address Line 2'
2. Attempt to proceed</t>
  </si>
  <si>
    <t>Address Line 2: 300+ character string</t>
  </si>
  <si>
    <t>TC_BIZ_CITY_01</t>
  </si>
  <si>
    <t>Enter valid value in 'City' field</t>
  </si>
  <si>
    <t>1. Navigate to the step containing 'City'
2. Enter a valid value
3. Proceed / Save</t>
  </si>
  <si>
    <t>City: Dubai</t>
  </si>
  <si>
    <t>Value is accepted; no validation error is shown for 'City'</t>
  </si>
  <si>
    <t>TC_BIZ_CITY_02</t>
  </si>
  <si>
    <t>Leave 'City' empty and attempt to proceed</t>
  </si>
  <si>
    <t>1. Leave 'City' field empty
2. Click 'Save and Proceed'</t>
  </si>
  <si>
    <t>City: (empty)</t>
  </si>
  <si>
    <t>Inline validation error shown: 'City is required'; user cannot proceed to the next step</t>
  </si>
  <si>
    <t>TC_BIZ_CITY_03</t>
  </si>
  <si>
    <t>Enter script/special-character injection in 'City'</t>
  </si>
  <si>
    <t>1. Enter a script/SQL injection payload in 'City'
2. Attempt to proceed</t>
  </si>
  <si>
    <t>City: &lt;script&gt;alert(1)&lt;/script&gt;</t>
  </si>
  <si>
    <t>TC_BIZ_CITY_04</t>
  </si>
  <si>
    <t>Enter value exceeding maximum length in 'City'</t>
  </si>
  <si>
    <t>1. Enter an excessively long value (e.g., 300+ characters) in 'City'
2. Attempt to proceed</t>
  </si>
  <si>
    <t>City: 300+ character string</t>
  </si>
  <si>
    <t>TC_BIZ_ZIP_01</t>
  </si>
  <si>
    <t>Enter valid alphanumeric value in 'ZIP Code / Area Code'</t>
  </si>
  <si>
    <t>1. Navigate to the step containing 'ZIP Code / Area Code'
2. Enter a valid value matching the expected format
3. Proceed / Save</t>
  </si>
  <si>
    <t>ZIP Code / Area Code: 687376</t>
  </si>
  <si>
    <t>Value is accepted; no validation error is shown for 'ZIP Code / Area Code'</t>
  </si>
  <si>
    <t>TC_BIZ_ZIP_02</t>
  </si>
  <si>
    <t>Leave 'ZIP Code / Area Code' empty and attempt to proceed</t>
  </si>
  <si>
    <t>1. Leave 'ZIP Code / Area Code' field empty
2. Click 'Save and Proceed'</t>
  </si>
  <si>
    <t>ZIP Code / Area Code: (empty)</t>
  </si>
  <si>
    <t>Inline validation error shown: 'ZIP Code / Area Code is required'; user cannot proceed</t>
  </si>
  <si>
    <t>TC_BIZ_ZIP_03</t>
  </si>
  <si>
    <t>Enter value with invalid format/characters in 'ZIP Code / Area Code'</t>
  </si>
  <si>
    <t>1. Enter a value that does not match the expected format for 'ZIP Code / Area Code' (e.g., AB!!)
2. Attempt to proceed</t>
  </si>
  <si>
    <t>ZIP Code / Area Code: AB!!</t>
  </si>
  <si>
    <t>Validation error shown indicating the expected format for 'ZIP Code / Area Code'; user cannot proceed with invalid input</t>
  </si>
  <si>
    <t>TC_BIZ_ZIP_04</t>
  </si>
  <si>
    <t>Enter duplicate/already-used value in 'ZIP Code / Area Code' (if uniqueness applies)</t>
  </si>
  <si>
    <t>1. Enter a value for 'ZIP Code / Area Code' that is already registered/used elsewhere in the system
2. Attempt to proceed</t>
  </si>
  <si>
    <t>ZIP Code / Area Code: duplicate value</t>
  </si>
  <si>
    <t>TC_BIZ_COUNTRY_01</t>
  </si>
  <si>
    <t>Select a valid option in 'Country' dropdown</t>
  </si>
  <si>
    <t>1. Click the 'Country' dropdown
2. Select a valid option
3. Proceed / Save</t>
  </si>
  <si>
    <t>Country: United Arab Emirates</t>
  </si>
  <si>
    <t>Selected value is accepted and retained; no validation error is shown</t>
  </si>
  <si>
    <t>TC_BIZ_COUNTRY_02</t>
  </si>
  <si>
    <t>Leave 'Country' dropdown unselected and attempt to proceed</t>
  </si>
  <si>
    <t>1. Leave 'Country' at its default/placeholder state
2. Click 'Save and Proceed'</t>
  </si>
  <si>
    <t>Country: (unselected)</t>
  </si>
  <si>
    <t>Inline validation error shown: 'Country is required'; user cannot proceed</t>
  </si>
  <si>
    <t>TC_BIZ_COUNTRY_03</t>
  </si>
  <si>
    <t>Verify 'Country' dropdown options are complete and correctly labeled</t>
  </si>
  <si>
    <t>1. Click the 'Country' dropdown
2. Review the full list of available options</t>
  </si>
  <si>
    <t>Country: full option list</t>
  </si>
  <si>
    <t>All expected options are present, correctly spelled, and in a logical order (e.g., alphabetical)</t>
  </si>
  <si>
    <t>TC_BIZ_MOBILE_01</t>
  </si>
  <si>
    <t>Enter a valid mobile number with country code in 'Mobile Number'</t>
  </si>
  <si>
    <t>1. Select the correct country code
2. Enter a valid mobile number
3. Proceed / Save</t>
  </si>
  <si>
    <t>Mobile Number: +971 666464566</t>
  </si>
  <si>
    <t>Value is accepted; no validation error is shown</t>
  </si>
  <si>
    <t>TC_BIZ_MOBILE_02</t>
  </si>
  <si>
    <t>Leave 'Mobile Number' empty and attempt to proceed</t>
  </si>
  <si>
    <t>1. Leave 'Mobile Number' empty
2. Click 'Save and Proceed'</t>
  </si>
  <si>
    <t>Mobile Number: (empty)</t>
  </si>
  <si>
    <t>Inline validation error shown: 'Mobile Number is required'; user cannot proceed</t>
  </si>
  <si>
    <t>TC_BIZ_MOBILE_03</t>
  </si>
  <si>
    <t>Enter an invalid/incomplete number in 'Mobile Number'</t>
  </si>
  <si>
    <t>1. Enter a number that is too short, too long, or contains letters
2. Attempt to proceed</t>
  </si>
  <si>
    <t>Mobile Number: 123 or 37845abc4</t>
  </si>
  <si>
    <t>Validation error shown for the mobile number field; user cannot proceed</t>
  </si>
  <si>
    <t>TC_BIZ_VAT_01</t>
  </si>
  <si>
    <t>Enter valid alphanumeric value in 'VAT Registration Number'</t>
  </si>
  <si>
    <t>1. Navigate to the step containing 'VAT Registration Number'
2. Enter a valid value matching the expected format
3. Proceed / Save</t>
  </si>
  <si>
    <t>VAT Registration Number: RE9838948932948</t>
  </si>
  <si>
    <t>Value is accepted; no validation error is shown for 'VAT Registration Number'</t>
  </si>
  <si>
    <t>TC_BIZ_VAT_02</t>
  </si>
  <si>
    <t>Leave 'VAT Registration Number' empty and attempt to proceed</t>
  </si>
  <si>
    <t>1. Leave 'VAT Registration Number' field empty
2. Click 'Save and Proceed'</t>
  </si>
  <si>
    <t>VAT Registration Number: (empty)</t>
  </si>
  <si>
    <t>Inline validation error shown: 'VAT Registration Number is required'; user cannot proceed</t>
  </si>
  <si>
    <t>TC_BIZ_VAT_03</t>
  </si>
  <si>
    <t>Enter value with invalid format/characters in 'VAT Registration Number'</t>
  </si>
  <si>
    <t>1. Enter a value that does not match the expected format for 'VAT Registration Number' (e.g., VAT##123)
2. Attempt to proceed</t>
  </si>
  <si>
    <t>VAT Registration Number: VAT##123</t>
  </si>
  <si>
    <t>Validation error shown indicating the expected format for 'VAT Registration Number'; user cannot proceed with invalid input</t>
  </si>
  <si>
    <t>TC_BIZ_VAT_04</t>
  </si>
  <si>
    <t>Enter duplicate/already-used value in 'VAT Registration Number' (if uniqueness applies)</t>
  </si>
  <si>
    <t>1. Enter a value for 'VAT Registration Number' that is already registered/used elsewhere in the system
2. Attempt to proceed</t>
  </si>
  <si>
    <t>VAT Registration Number: duplicate value</t>
  </si>
  <si>
    <t>TC_BIZ_WEB_01</t>
  </si>
  <si>
    <t>Enter a valid URL in 'Website Address'</t>
  </si>
  <si>
    <t>1. Navigate to the step containing 'Website Address'
2. Enter a valid website URL
3. Proceed / Save</t>
  </si>
  <si>
    <t>Website Address: www.rehanairlines.com</t>
  </si>
  <si>
    <t>TC_BIZ_WEB_02</t>
  </si>
  <si>
    <t>Leave 'Website Address' empty and attempt to proceed</t>
  </si>
  <si>
    <t>1. Leave 'Website Address' empty
2. Click 'Save and Proceed'</t>
  </si>
  <si>
    <t>Website Address: (empty)</t>
  </si>
  <si>
    <t>Inline validation error shown: 'Website Address is required'; user cannot proceed</t>
  </si>
  <si>
    <t>TC_BIZ_WEB_03</t>
  </si>
  <si>
    <t>Enter an invalid URL format in 'Website Address'</t>
  </si>
  <si>
    <t>1. Enter a malformed URL (e.g., 'wwrehanairlines', 'htp://site')
2. Attempt to proceed</t>
  </si>
  <si>
    <t>Website Address: wwrehanairlines</t>
  </si>
  <si>
    <t>Validation error shown: 'Enter a valid website address'; user cannot proceed</t>
  </si>
  <si>
    <t>TC_BIZ_ESTAB_01</t>
  </si>
  <si>
    <t>Select a valid option in 'Establishment Type' dropdown</t>
  </si>
  <si>
    <t>1. Click the 'Establishment Type' dropdown
2. Select a valid option
3. Proceed / Save</t>
  </si>
  <si>
    <t>Establishment Type: Private Limited Company</t>
  </si>
  <si>
    <t>TC_BIZ_ESTAB_02</t>
  </si>
  <si>
    <t>Leave 'Establishment Type' dropdown unselected and attempt to proceed</t>
  </si>
  <si>
    <t>1. Leave 'Establishment Type' at its default/placeholder state
2. Click 'Save and Proceed'</t>
  </si>
  <si>
    <t>Establishment Type: (unselected)</t>
  </si>
  <si>
    <t>Inline validation error shown: 'Establishment Type is required'; user cannot proceed</t>
  </si>
  <si>
    <t>TC_BIZ_ESTAB_03</t>
  </si>
  <si>
    <t>Verify 'Establishment Type' dropdown options are complete and correctly labeled</t>
  </si>
  <si>
    <t>1. Click the 'Establishment Type' dropdown
2. Review the full list of available options</t>
  </si>
  <si>
    <t>Establishment Type: full option list</t>
  </si>
  <si>
    <t>TC_BIZ_YEARS_01</t>
  </si>
  <si>
    <t>Enter a valid positive number in 'Years in Business'</t>
  </si>
  <si>
    <t>1. Navigate to the step containing 'Years in Business'
2. Enter a valid positive numeric value
3. Proceed / Save</t>
  </si>
  <si>
    <t>Years in Business: 8</t>
  </si>
  <si>
    <t>Value is accepted; no validation error is shown for 'Years in Business'</t>
  </si>
  <si>
    <t>TC_BIZ_YEARS_02</t>
  </si>
  <si>
    <t>Leave 'Years in Business' empty and attempt to proceed</t>
  </si>
  <si>
    <t>1. Leave 'Years in Business' field empty
2. Click 'Save and Proceed'</t>
  </si>
  <si>
    <t>Years in Business: (empty)</t>
  </si>
  <si>
    <t>Inline validation error shown: 'Years in Business is required'; user cannot proceed</t>
  </si>
  <si>
    <t>TC_BIZ_YEARS_03</t>
  </si>
  <si>
    <t>Enter a negative or zero value in 'Years in Business'</t>
  </si>
  <si>
    <t>1. Enter '0' or a negative number in 'Years in Business'
2. Attempt to proceed</t>
  </si>
  <si>
    <t>Years in Business: -5 or 0</t>
  </si>
  <si>
    <t>Validation error shown indicating the value must be greater than zero; user cannot proceed</t>
  </si>
  <si>
    <t>TC_BIZ_YEARS_04</t>
  </si>
  <si>
    <t>Enter non-numeric characters in 'Years in Business'</t>
  </si>
  <si>
    <t>1. Enter letters/special characters in 'Years in Business' (e.g., 'abc', '12@3')
2. Attempt to proceed</t>
  </si>
  <si>
    <t>Years in Business: abc</t>
  </si>
  <si>
    <t>Field rejects non-numeric input; validation error shown or characters are not accepted at all</t>
  </si>
  <si>
    <t>TC_BIZ_NATURE_01</t>
  </si>
  <si>
    <t>Enter valid value in 'Nature of Business' field</t>
  </si>
  <si>
    <t>1. Navigate to the step containing 'Nature of Business'
2. Enter a valid value
3. Proceed / Save</t>
  </si>
  <si>
    <t>Nature of Business: Airline / Air Cargo Services</t>
  </si>
  <si>
    <t>Value is accepted; no validation error is shown for 'Nature of Business'</t>
  </si>
  <si>
    <t>TC_BIZ_NATURE_02</t>
  </si>
  <si>
    <t>Leave 'Nature of Business' empty and attempt to proceed</t>
  </si>
  <si>
    <t>1. Leave 'Nature of Business' field empty
2. Click 'Save and Proceed'</t>
  </si>
  <si>
    <t>Nature of Business: (empty)</t>
  </si>
  <si>
    <t>Inline validation error shown: 'Nature of Business is required'; user cannot proceed to the next step</t>
  </si>
  <si>
    <t>TC_BIZ_NATURE_03</t>
  </si>
  <si>
    <t>Enter script/special-character injection in 'Nature of Business'</t>
  </si>
  <si>
    <t>1. Enter a script/SQL injection payload in 'Nature of Business'
2. Attempt to proceed</t>
  </si>
  <si>
    <t>Nature of Business: &lt;script&gt;alert(1)&lt;/script&gt;</t>
  </si>
  <si>
    <t>TC_BIZ_NATURE_04</t>
  </si>
  <si>
    <t>Enter value exceeding maximum length in 'Nature of Business'</t>
  </si>
  <si>
    <t>1. Enter an excessively long value (e.g., 300+ characters) in 'Nature of Business'
2. Attempt to proceed</t>
  </si>
  <si>
    <t>Nature of Business: 300+ character string</t>
  </si>
  <si>
    <t>TC_BIZ_ANNUAL_01</t>
  </si>
  <si>
    <t>Enter a valid amount with currency selected for 'Annual Projected Volume'</t>
  </si>
  <si>
    <t>1. Select a currency in the 'Annual Projected Volume' currency dropdown
2. Enter a valid positive amount
3. Proceed / Save</t>
  </si>
  <si>
    <t>Annual Projected Volume: AED 50,000</t>
  </si>
  <si>
    <t>Value and currency are accepted; no validation error is shown</t>
  </si>
  <si>
    <t>TC_BIZ_ANNUAL_02</t>
  </si>
  <si>
    <t>Leave 'Annual Projected Volume' amount empty and attempt to proceed</t>
  </si>
  <si>
    <t>1. Leave the 'Annual Projected Volume' amount field empty
2. Click 'Save and Proceed'</t>
  </si>
  <si>
    <t>Annual Projected Volume: (empty)</t>
  </si>
  <si>
    <t>Inline validation error shown: 'Annual Projected Volume is required'; user cannot proceed</t>
  </si>
  <si>
    <t>TC_BIZ_ANNUAL_03</t>
  </si>
  <si>
    <t>Enter a negative or zero amount in 'Annual Projected Volume'</t>
  </si>
  <si>
    <t>1. Enter '0' or a negative number as the 'Annual Projected Volume' amount
2. Attempt to proceed</t>
  </si>
  <si>
    <t>Annual Projected Volume: -1000 or 0</t>
  </si>
  <si>
    <t>Validation error shown indicating the amount must be greater than zero; user cannot proceed</t>
  </si>
  <si>
    <t>TC_BIZ_ANNUAL_04</t>
  </si>
  <si>
    <t>Leave currency dropdown for 'Annual Projected Volume' unselected (if no default)</t>
  </si>
  <si>
    <t>1. Leave the currency dropdown for 'Annual Projected Volume' at a blank/placeholder state (if possible)
2. Enter a valid amount
3. Attempt to proceed</t>
  </si>
  <si>
    <t>Annual Projected Volume: amount entered, currency unselected</t>
  </si>
  <si>
    <t>Validation error shown requiring a currency selection; user cannot proceed without one</t>
  </si>
  <si>
    <t>TC_BIZ_ANNUAL_05</t>
  </si>
  <si>
    <t>Cross-field consistency check for 'Annual Projected Volume' against related volume/value fields</t>
  </si>
  <si>
    <t>1. Enter a value for 'Annual Projected Volume' that is logically inconsistent with a related field (e.g., 'Highest Single Transaction Value' lower than 'Average Transaction Value')
2. Attempt to proceed</t>
  </si>
  <si>
    <t>Annual Projected Volume: inconsistent value relative to related field</t>
  </si>
  <si>
    <t>System either flags the inconsistency with a warning/error or accepts it if no cross-field validation is implemented — confirm intended behaviour</t>
  </si>
  <si>
    <t>TC_BIZ_MONTHVOL_01</t>
  </si>
  <si>
    <t>Enter a valid amount with currency selected for 'Expected Monthly Transaction Volume'</t>
  </si>
  <si>
    <t>1. Select a currency in the 'Expected Monthly Transaction Volume' currency dropdown
2. Enter a valid positive amount
3. Proceed / Save</t>
  </si>
  <si>
    <t>Expected Monthly Transaction Volume: AED 50,000</t>
  </si>
  <si>
    <t>TC_BIZ_MONTHVOL_02</t>
  </si>
  <si>
    <t>Leave 'Expected Monthly Transaction Volume' amount empty and attempt to proceed</t>
  </si>
  <si>
    <t>1. Leave the 'Expected Monthly Transaction Volume' amount field empty
2. Click 'Save and Proceed'</t>
  </si>
  <si>
    <t>Expected Monthly Transaction Volume: (empty)</t>
  </si>
  <si>
    <t>Inline validation error shown: 'Expected Monthly Transaction Volume is required'; user cannot proceed</t>
  </si>
  <si>
    <t>TC_BIZ_MONTHVOL_03</t>
  </si>
  <si>
    <t>Enter a negative or zero amount in 'Expected Monthly Transaction Volume'</t>
  </si>
  <si>
    <t>1. Enter '0' or a negative number as the 'Expected Monthly Transaction Volume' amount
2. Attempt to proceed</t>
  </si>
  <si>
    <t>Expected Monthly Transaction Volume: -1000 or 0</t>
  </si>
  <si>
    <t>TC_BIZ_MONTHVOL_04</t>
  </si>
  <si>
    <t>Leave currency dropdown for 'Expected Monthly Transaction Volume' unselected (if no default)</t>
  </si>
  <si>
    <t>1. Leave the currency dropdown for 'Expected Monthly Transaction Volume' at a blank/placeholder state (if possible)
2. Enter a valid amount
3. Attempt to proceed</t>
  </si>
  <si>
    <t>Expected Monthly Transaction Volume: amount entered, currency unselected</t>
  </si>
  <si>
    <t>TC_BIZ_MONTHVOL_05</t>
  </si>
  <si>
    <t>Cross-field consistency check for 'Expected Monthly Transaction Volume' against related volume/value fields</t>
  </si>
  <si>
    <t>1. Enter a value for 'Expected Monthly Transaction Volume' that is logically inconsistent with a related field (e.g., 'Highest Single Transaction Value' lower than 'Average Transaction Value')
2. Attempt to proceed</t>
  </si>
  <si>
    <t>Expected Monthly Transaction Volume: inconsistent value relative to related field</t>
  </si>
  <si>
    <t>TC_BIZ_AVGVAL_01</t>
  </si>
  <si>
    <t>Enter a valid amount with currency selected for 'Average Transaction Value'</t>
  </si>
  <si>
    <t>1. Select a currency in the 'Average Transaction Value' currency dropdown
2. Enter a valid positive amount
3. Proceed / Save</t>
  </si>
  <si>
    <t>Average Transaction Value: AED 50,000</t>
  </si>
  <si>
    <t>TC_BIZ_AVGVAL_02</t>
  </si>
  <si>
    <t>Leave 'Average Transaction Value' amount empty and attempt to proceed</t>
  </si>
  <si>
    <t>1. Leave the 'Average Transaction Value' amount field empty
2. Click 'Save and Proceed'</t>
  </si>
  <si>
    <t>Average Transaction Value: (empty)</t>
  </si>
  <si>
    <t>Inline validation error shown: 'Average Transaction Value is required'; user cannot proceed</t>
  </si>
  <si>
    <t>TC_BIZ_AVGVAL_03</t>
  </si>
  <si>
    <t>Enter a negative or zero amount in 'Average Transaction Value'</t>
  </si>
  <si>
    <t>1. Enter '0' or a negative number as the 'Average Transaction Value' amount
2. Attempt to proceed</t>
  </si>
  <si>
    <t>Average Transaction Value: -1000 or 0</t>
  </si>
  <si>
    <t>TC_BIZ_AVGVAL_04</t>
  </si>
  <si>
    <t>Leave currency dropdown for 'Average Transaction Value' unselected (if no default)</t>
  </si>
  <si>
    <t>1. Leave the currency dropdown for 'Average Transaction Value' at a blank/placeholder state (if possible)
2. Enter a valid amount
3. Attempt to proceed</t>
  </si>
  <si>
    <t>Average Transaction Value: amount entered, currency unselected</t>
  </si>
  <si>
    <t>TC_BIZ_AVGVAL_05</t>
  </si>
  <si>
    <t>Cross-field consistency check for 'Average Transaction Value' against related volume/value fields</t>
  </si>
  <si>
    <t>1. Enter a value for 'Average Transaction Value' that is logically inconsistent with a related field (e.g., 'Highest Single Transaction Value' lower than 'Average Transaction Value')
2. Attempt to proceed</t>
  </si>
  <si>
    <t>Average Transaction Value: inconsistent value relative to related field</t>
  </si>
  <si>
    <t>TC_BIZ_MAXDAILY_01</t>
  </si>
  <si>
    <t>Enter a valid amount with currency selected for 'Maximum Daily Volume'</t>
  </si>
  <si>
    <t>1. Select a currency in the 'Maximum Daily Volume' currency dropdown
2. Enter a valid positive amount
3. Proceed / Save</t>
  </si>
  <si>
    <t>Maximum Daily Volume: AED 50,000</t>
  </si>
  <si>
    <t>TC_BIZ_MAXDAILY_02</t>
  </si>
  <si>
    <t>Leave 'Maximum Daily Volume' amount empty and attempt to proceed</t>
  </si>
  <si>
    <t>1. Leave the 'Maximum Daily Volume' amount field empty
2. Click 'Save and Proceed'</t>
  </si>
  <si>
    <t>Maximum Daily Volume: (empty)</t>
  </si>
  <si>
    <t>Inline validation error shown: 'Maximum Daily Volume is required'; user cannot proceed</t>
  </si>
  <si>
    <t>TC_BIZ_MAXDAILY_03</t>
  </si>
  <si>
    <t>Enter a negative or zero amount in 'Maximum Daily Volume'</t>
  </si>
  <si>
    <t>1. Enter '0' or a negative number as the 'Maximum Daily Volume' amount
2. Attempt to proceed</t>
  </si>
  <si>
    <t>Maximum Daily Volume: -1000 or 0</t>
  </si>
  <si>
    <t>TC_BIZ_MAXDAILY_04</t>
  </si>
  <si>
    <t>Leave currency dropdown for 'Maximum Daily Volume' unselected (if no default)</t>
  </si>
  <si>
    <t>1. Leave the currency dropdown for 'Maximum Daily Volume' at a blank/placeholder state (if possible)
2. Enter a valid amount
3. Attempt to proceed</t>
  </si>
  <si>
    <t>Maximum Daily Volume: amount entered, currency unselected</t>
  </si>
  <si>
    <t>TC_BIZ_MAXDAILY_05</t>
  </si>
  <si>
    <t>Cross-field consistency check for 'Maximum Daily Volume' against related volume/value fields</t>
  </si>
  <si>
    <t>1. Enter a value for 'Maximum Daily Volume' that is logically inconsistent with a related field (e.g., 'Highest Single Transaction Value' lower than 'Average Transaction Value')
2. Attempt to proceed</t>
  </si>
  <si>
    <t>Maximum Daily Volume: inconsistent value relative to related field</t>
  </si>
  <si>
    <t>TC_BIZ_HIGHTXN_01</t>
  </si>
  <si>
    <t>Enter a valid amount with currency selected for 'Highest Single Transaction Value'</t>
  </si>
  <si>
    <t>1. Select a currency in the 'Highest Single Transaction Value' currency dropdown
2. Enter a valid positive amount
3. Proceed / Save</t>
  </si>
  <si>
    <t>Highest Single Transaction Value: AED 50,000</t>
  </si>
  <si>
    <t>TC_BIZ_HIGHTXN_02</t>
  </si>
  <si>
    <t>Leave 'Highest Single Transaction Value' amount empty and attempt to proceed</t>
  </si>
  <si>
    <t>1. Leave the 'Highest Single Transaction Value' amount field empty
2. Click 'Save and Proceed'</t>
  </si>
  <si>
    <t>Highest Single Transaction Value: (empty)</t>
  </si>
  <si>
    <t>Inline validation error shown: 'Highest Single Transaction Value is required'; user cannot proceed</t>
  </si>
  <si>
    <t>TC_BIZ_HIGHTXN_03</t>
  </si>
  <si>
    <t>Enter a negative or zero amount in 'Highest Single Transaction Value'</t>
  </si>
  <si>
    <t>1. Enter '0' or a negative number as the 'Highest Single Transaction Value' amount
2. Attempt to proceed</t>
  </si>
  <si>
    <t>Highest Single Transaction Value: -1000 or 0</t>
  </si>
  <si>
    <t>TC_BIZ_HIGHTXN_04</t>
  </si>
  <si>
    <t>Leave currency dropdown for 'Highest Single Transaction Value' unselected (if no default)</t>
  </si>
  <si>
    <t>1. Leave the currency dropdown for 'Highest Single Transaction Value' at a blank/placeholder state (if possible)
2. Enter a valid amount
3. Attempt to proceed</t>
  </si>
  <si>
    <t>Highest Single Transaction Value: amount entered, currency unselected</t>
  </si>
  <si>
    <t>TC_BIZ_HIGHTXN_05</t>
  </si>
  <si>
    <t>Cross-field consistency check for 'Highest Single Transaction Value' against related volume/value fields</t>
  </si>
  <si>
    <t>1. Enter a value for 'Highest Single Transaction Value' that is logically inconsistent with a related field (e.g., 'Highest Single Transaction Value' lower than 'Average Transaction Value')
2. Attempt to proceed</t>
  </si>
  <si>
    <t>Highest Single Transaction Value: inconsistent value relative to related field</t>
  </si>
  <si>
    <t>TC_BIZ_LOGO_U01</t>
  </si>
  <si>
    <t>Upload a clean file in an allowed format for 'Business Logo'</t>
  </si>
  <si>
    <t>1. Navigate to the step containing 'Business Logo'
2. Select a clean file matching an allowed format (JPG, JPEG, PNG) within 1 MB
3. Upload</t>
  </si>
  <si>
    <t>clean_biz_logo.jpg (within 1 MB)</t>
  </si>
  <si>
    <t>File passes the ClamAV scan with result 'Clean'; upload completes; file is accepted for this field</t>
  </si>
  <si>
    <t>TC_BIZ_LOGO_U02</t>
  </si>
  <si>
    <t>Attempt to proceed without uploading 'Business Logo' (mandatory)</t>
  </si>
  <si>
    <t>1. Leave 'Business Logo' empty
2. Click 'Save and Proceed'</t>
  </si>
  <si>
    <t>Business Logo: (no file uploaded)</t>
  </si>
  <si>
    <t>Validation error shown: 'Business Logo is required'; user cannot proceed</t>
  </si>
  <si>
    <t>TC_BIZ_LOGO_U03</t>
  </si>
  <si>
    <t>Upload the EICAR antivirus test file to 'Business Logo'</t>
  </si>
  <si>
    <t>1. Prepare the EICAR test string as a .jpg file
2. Upload it to 'Business Logo'</t>
  </si>
  <si>
    <t>eicar_test.jpg</t>
  </si>
  <si>
    <t>ClamAV detects the file as infected ('Eicar-Test-Signature'); upload is rejected with a clear, non-technical error message; file is not saved</t>
  </si>
  <si>
    <t>TC_BIZ_LOGO_U04</t>
  </si>
  <si>
    <t>Upload a file in an unsupported format to 'Business Logo'</t>
  </si>
  <si>
    <t>1. Select a file in a format not in the allowed list (JPG, JPEG, PNG)
2. Attempt to upload to 'Business Logo'</t>
  </si>
  <si>
    <t>unsupported_file.exe</t>
  </si>
  <si>
    <t>Upload is rejected with a validation error indicating the allowed formats (JPG, JPEG, PNG)</t>
  </si>
  <si>
    <t>TC_BIZ_LOGO_U05</t>
  </si>
  <si>
    <t>Upload a file exceeding the maximum size limit for 'Business Logo'</t>
  </si>
  <si>
    <t>1. Select a file exceeding 1 MB
2. Attempt to upload to 'Business Logo'</t>
  </si>
  <si>
    <t>oversized_biz_logo.jpg (exceeds 1 MB)</t>
  </si>
  <si>
    <t>Upload is rejected with a validation error indicating the 1 MB size limit</t>
  </si>
  <si>
    <t>TC_BIZ_LOGO_U06</t>
  </si>
  <si>
    <t>Upload a corrupted/malformed file to 'Business Logo'</t>
  </si>
  <si>
    <t>1. Prepare a deliberately corrupted file with a valid extension
2. Upload it to 'Business Logo'</t>
  </si>
  <si>
    <t>corrupted_biz_logo.jpg</t>
  </si>
  <si>
    <t>File is rejected with a clear error; no server crash or unhandled exception occurs</t>
  </si>
  <si>
    <t>TC_CLIC_U01</t>
  </si>
  <si>
    <t>Business Details - Commercial License</t>
  </si>
  <si>
    <t>Upload a clean file in an allowed format for 'Commercial License Proof'</t>
  </si>
  <si>
    <t>1. Navigate to the step containing 'Commercial License Proof'
2. Select a clean file matching an allowed format (PDF, DOC, DOCX, JPG, JPEG, PNG) within 1 MB
3. Upload</t>
  </si>
  <si>
    <t>clean_clic.pdf (within 1 MB)</t>
  </si>
  <si>
    <t>TC_CLIC_U02</t>
  </si>
  <si>
    <t>Attempt to proceed without uploading 'Commercial License Proof' (mandatory)</t>
  </si>
  <si>
    <t>1. Leave 'Commercial License Proof' empty
2. Click 'Save and Proceed'</t>
  </si>
  <si>
    <t>Commercial License Proof: (no file uploaded)</t>
  </si>
  <si>
    <t>Validation error shown: 'Commercial License Proof is required'; user cannot proceed</t>
  </si>
  <si>
    <t>TC_CLIC_U03</t>
  </si>
  <si>
    <t>Upload the EICAR antivirus test file to 'Commercial License Proof'</t>
  </si>
  <si>
    <t>1. Prepare the EICAR test string as a .pdf file
2. Upload it to 'Commercial License Proof'</t>
  </si>
  <si>
    <t>eicar_test.pdf</t>
  </si>
  <si>
    <t>TC_CLIC_U04</t>
  </si>
  <si>
    <t>Upload a file in an unsupported format to 'Commercial License Proof'</t>
  </si>
  <si>
    <t>1. Select a file in a format not in the allowed list (PDF, DOC, DOCX, JPG, JPEG, PNG)
2. Attempt to upload to 'Commercial License Proof'</t>
  </si>
  <si>
    <t>Upload is rejected with a validation error indicating the allowed formats (PDF, DOC, DOCX, JPG, JPEG, PNG)</t>
  </si>
  <si>
    <t>TC_CLIC_U05</t>
  </si>
  <si>
    <t>Upload a file exceeding the maximum size limit for 'Commercial License Proof'</t>
  </si>
  <si>
    <t>1. Select a file exceeding 1 MB
2. Attempt to upload to 'Commercial License Proof'</t>
  </si>
  <si>
    <t>oversized_clic.pdf (exceeds 1 MB)</t>
  </si>
  <si>
    <t>TC_CLIC_U06</t>
  </si>
  <si>
    <t>Upload a corrupted/malformed file to 'Commercial License Proof'</t>
  </si>
  <si>
    <t>1. Prepare a deliberately corrupted file with a valid extension
2. Upload it to 'Commercial License Proof'</t>
  </si>
  <si>
    <t>corrupted_clic.pdf</t>
  </si>
  <si>
    <t>TC_CLIC_EXP01</t>
  </si>
  <si>
    <t>Upload a Commercial License document expiring in more than 21 days</t>
  </si>
  <si>
    <t>1. Upload a Commercial License Proof with an expiry date more than 21 days from today
2. Attempt to proceed</t>
  </si>
  <si>
    <t>Document expiry: today + 60 days</t>
  </si>
  <si>
    <t>File is accepted; user can proceed to the next step without any renewal warning</t>
  </si>
  <si>
    <t>TC_CLIC_EXP02</t>
  </si>
  <si>
    <t>Upload a Commercial License document expiring within 21 days</t>
  </si>
  <si>
    <t>1. Upload a Commercial License Proof with an expiry date less than 21 days from today
2. Attempt to proceed</t>
  </si>
  <si>
    <t>Document expiry: today + 10 days</t>
  </si>
  <si>
    <t>System displays the specified warning: document must be renewed before proceeding since its expiry date is less than 21 days away; user cannot proceed until a renewed document is uploaded</t>
  </si>
  <si>
    <t>Confirm exact detection method — e.g., manual date field entry vs automatic extraction from the uploaded file</t>
  </si>
  <si>
    <t>TC_CLIC_EXP03</t>
  </si>
  <si>
    <t>Upload a Commercial License document that has already expired</t>
  </si>
  <si>
    <t>1. Upload a Commercial License Proof with an expiry date in the past
2. Attempt to proceed</t>
  </si>
  <si>
    <t>Document expiry: yesterday</t>
  </si>
  <si>
    <t>System rejects the document as expired with a clear message; user cannot proceed until a valid, unexpired document is uploaded</t>
  </si>
  <si>
    <t>TC_AOA_U01</t>
  </si>
  <si>
    <t>Business Details - Articles of Association</t>
  </si>
  <si>
    <t>Upload a clean file in an allowed format for 'Articles of Association Proof'</t>
  </si>
  <si>
    <t>1. Navigate to the step containing 'Articles of Association Proof'
2. Select a clean file matching an allowed format (PDF, DOC, DOCX, JPG, JPEG, PNG) within 1 MB
3. Upload</t>
  </si>
  <si>
    <t>clean_aoa.pdf (within 1 MB)</t>
  </si>
  <si>
    <t>TC_AOA_U02</t>
  </si>
  <si>
    <t>Attempt to proceed without uploading 'Articles of Association Proof' (mandatory)</t>
  </si>
  <si>
    <t>1. Leave 'Articles of Association Proof' empty
2. Click 'Save and Proceed'</t>
  </si>
  <si>
    <t>Articles of Association Proof: (no file uploaded)</t>
  </si>
  <si>
    <t>Validation error shown: 'Articles of Association Proof is required'; user cannot proceed</t>
  </si>
  <si>
    <t>TC_AOA_U03</t>
  </si>
  <si>
    <t>Upload the EICAR antivirus test file to 'Articles of Association Proof'</t>
  </si>
  <si>
    <t>1. Prepare the EICAR test string as a .pdf file
2. Upload it to 'Articles of Association Proof'</t>
  </si>
  <si>
    <t>TC_AOA_U04</t>
  </si>
  <si>
    <t>Upload a file in an unsupported format to 'Articles of Association Proof'</t>
  </si>
  <si>
    <t>1. Select a file in a format not in the allowed list (PDF, DOC, DOCX, JPG, JPEG, PNG)
2. Attempt to upload to 'Articles of Association Proof'</t>
  </si>
  <si>
    <t>TC_AOA_U05</t>
  </si>
  <si>
    <t>Upload a file exceeding the maximum size limit for 'Articles of Association Proof'</t>
  </si>
  <si>
    <t>1. Select a file exceeding 1 MB
2. Attempt to upload to 'Articles of Association Proof'</t>
  </si>
  <si>
    <t>oversized_aoa.pdf (exceeds 1 MB)</t>
  </si>
  <si>
    <t>TC_AOA_U06</t>
  </si>
  <si>
    <t>Upload a corrupted/malformed file to 'Articles of Association Proof'</t>
  </si>
  <si>
    <t>1. Prepare a deliberately corrupted file with a valid extension
2. Upload it to 'Articles of Association Proof'</t>
  </si>
  <si>
    <t>corrupted_aoa.pdf</t>
  </si>
  <si>
    <t>TC_SH_NAME_01</t>
  </si>
  <si>
    <t>Stakeholder Details</t>
  </si>
  <si>
    <t>Enter valid value in 'Stakeholder Name' field</t>
  </si>
  <si>
    <t>1. Navigate to the step containing 'Stakeholder Name'
2. Enter a valid value
3. Proceed / Save</t>
  </si>
  <si>
    <t>Stakeholder Name: Sergey Kovalenko</t>
  </si>
  <si>
    <t>Value is accepted; no validation error is shown for 'Stakeholder Name'</t>
  </si>
  <si>
    <t>TC_SH_NAME_02</t>
  </si>
  <si>
    <t>Leave 'Stakeholder Name' empty and attempt to proceed</t>
  </si>
  <si>
    <t>1. Leave 'Stakeholder Name' field empty
2. Click 'Save and Proceed'</t>
  </si>
  <si>
    <t>Stakeholder Name: (empty)</t>
  </si>
  <si>
    <t>Inline validation error shown: 'Stakeholder Name is required'; user cannot proceed to the next step</t>
  </si>
  <si>
    <t>TC_SH_NAME_03</t>
  </si>
  <si>
    <t>Enter script/special-character injection in 'Stakeholder Name'</t>
  </si>
  <si>
    <t>1. Enter a script/SQL injection payload in 'Stakeholder Name'
2. Attempt to proceed</t>
  </si>
  <si>
    <t>Stakeholder Name: &lt;script&gt;alert(1)&lt;/script&gt;</t>
  </si>
  <si>
    <t>TC_SH_NAME_04</t>
  </si>
  <si>
    <t>Enter value exceeding maximum length in 'Stakeholder Name'</t>
  </si>
  <si>
    <t>1. Enter an excessively long value (e.g., 300+ characters) in 'Stakeholder Name'
2. Attempt to proceed</t>
  </si>
  <si>
    <t>Stakeholder Name: 300+ character string</t>
  </si>
  <si>
    <t>TC_SH_DOB_01</t>
  </si>
  <si>
    <t>Enter a valid past date in 'Date of Birth'</t>
  </si>
  <si>
    <t>1. Navigate to the step containing 'Date of Birth'
2. Select/enter a valid past date
3. Proceed / Save</t>
  </si>
  <si>
    <t>Date of Birth: 15-Mar-1985</t>
  </si>
  <si>
    <t>TC_SH_DOB_02</t>
  </si>
  <si>
    <t>Leave 'Date of Birth' empty and attempt to proceed</t>
  </si>
  <si>
    <t>1. Leave 'Date of Birth' empty
2. Click 'Save and Proceed'</t>
  </si>
  <si>
    <t>Date of Birth: (empty)</t>
  </si>
  <si>
    <t>Inline validation error shown: 'Date of Birth is required'; user cannot proceed</t>
  </si>
  <si>
    <t>TC_SH_DOB_03</t>
  </si>
  <si>
    <t>Enter a future date in 'Date of Birth' (where not logically valid)</t>
  </si>
  <si>
    <t>1. Select/enter a date in the future for 'Date of Birth'
2. Attempt to proceed</t>
  </si>
  <si>
    <t>Date of Birth: a date after today</t>
  </si>
  <si>
    <t>Validation error shown indicating the date cannot be in the future; user cannot proceed</t>
  </si>
  <si>
    <t>TC_SH_DOB_04</t>
  </si>
  <si>
    <t>Enter a date implying the person is a minor in 'Date of Birth' (age-restricted fields only)</t>
  </si>
  <si>
    <t>1. Enter a date of birth implying an age below the legally required minimum (e.g., under 18)
2. Attempt to proceed</t>
  </si>
  <si>
    <t>Date of Birth: DOB implying age 16</t>
  </si>
  <si>
    <t>Validation error shown if a minimum-age rule applies to this role; user cannot proceed with an underage entry</t>
  </si>
  <si>
    <t>TC_SH_NAT_01</t>
  </si>
  <si>
    <t>Select a valid option in 'Nationality' dropdown</t>
  </si>
  <si>
    <t>1. Click the 'Nationality' dropdown
2. Select a valid option
3. Proceed / Save</t>
  </si>
  <si>
    <t>Nationality: United Arab Emirates</t>
  </si>
  <si>
    <t>TC_SH_NAT_02</t>
  </si>
  <si>
    <t>Leave 'Nationality' dropdown unselected and attempt to proceed</t>
  </si>
  <si>
    <t>1. Leave 'Nationality' at its default/placeholder state
2. Click 'Save and Proceed'</t>
  </si>
  <si>
    <t>Nationality: (unselected)</t>
  </si>
  <si>
    <t>Inline validation error shown: 'Nationality is required'; user cannot proceed</t>
  </si>
  <si>
    <t>TC_SH_NAT_03</t>
  </si>
  <si>
    <t>Verify 'Nationality' dropdown options are complete and correctly labeled</t>
  </si>
  <si>
    <t>1. Click the 'Nationality' dropdown
2. Review the full list of available options</t>
  </si>
  <si>
    <t>Nationality: full option list</t>
  </si>
  <si>
    <t>TC_SH_RES_01</t>
  </si>
  <si>
    <t>Select a valid option in 'Residency' dropdown</t>
  </si>
  <si>
    <t>1. Click the 'Residency' dropdown
2. Select a valid option
3. Proceed / Save</t>
  </si>
  <si>
    <t>Residency: United Arab Emirates</t>
  </si>
  <si>
    <t>TC_SH_RES_02</t>
  </si>
  <si>
    <t>Leave 'Residency' dropdown unselected and attempt to proceed</t>
  </si>
  <si>
    <t>1. Leave 'Residency' at its default/placeholder state
2. Click 'Save and Proceed'</t>
  </si>
  <si>
    <t>Residency: (unselected)</t>
  </si>
  <si>
    <t>Inline validation error shown: 'Residency is required'; user cannot proceed</t>
  </si>
  <si>
    <t>TC_SH_RES_03</t>
  </si>
  <si>
    <t>Verify 'Residency' dropdown options are complete and correctly labeled</t>
  </si>
  <si>
    <t>1. Click the 'Residency' dropdown
2. Review the full list of available options</t>
  </si>
  <si>
    <t>Residency: full option list</t>
  </si>
  <si>
    <t>TC_SH_SHARE_01</t>
  </si>
  <si>
    <t>Enter a valid positive number in 'Share Percentage'</t>
  </si>
  <si>
    <t>1. Navigate to the step containing 'Share Percentage'
2. Enter a valid positive numeric value
3. Proceed / Save</t>
  </si>
  <si>
    <t>Share Percentage: 45</t>
  </si>
  <si>
    <t>Value is accepted; no validation error is shown for 'Share Percentage'</t>
  </si>
  <si>
    <t>TC_SH_SHARE_02</t>
  </si>
  <si>
    <t>Leave 'Share Percentage' empty and attempt to proceed</t>
  </si>
  <si>
    <t>1. Leave 'Share Percentage' field empty
2. Click 'Save and Proceed'</t>
  </si>
  <si>
    <t>Share Percentage: (empty)</t>
  </si>
  <si>
    <t>Inline validation error shown: 'Share Percentage is required'; user cannot proceed</t>
  </si>
  <si>
    <t>TC_SH_SHARE_03</t>
  </si>
  <si>
    <t>Enter a negative or zero value in 'Share Percentage'</t>
  </si>
  <si>
    <t>1. Enter '0' or a negative number in 'Share Percentage'
2. Attempt to proceed</t>
  </si>
  <si>
    <t>Share Percentage: -5 or 0</t>
  </si>
  <si>
    <t>TC_SH_SHARE_04</t>
  </si>
  <si>
    <t>Enter non-numeric characters in 'Share Percentage'</t>
  </si>
  <si>
    <t>1. Enter letters/special characters in 'Share Percentage' (e.g., 'abc', '12@3')
2. Attempt to proceed</t>
  </si>
  <si>
    <t>Share Percentage: abc</t>
  </si>
  <si>
    <t>TC_SH_IDTYPE_01</t>
  </si>
  <si>
    <t>Select a valid option in 'ID Type' dropdown</t>
  </si>
  <si>
    <t>1. Click the 'ID Type' dropdown
2. Select a valid option
3. Proceed / Save</t>
  </si>
  <si>
    <t>ID Type: Passport</t>
  </si>
  <si>
    <t>TC_SH_IDTYPE_02</t>
  </si>
  <si>
    <t>Leave 'ID Type' dropdown unselected and attempt to proceed</t>
  </si>
  <si>
    <t>1. Leave 'ID Type' at its default/placeholder state
2. Click 'Save and Proceed'</t>
  </si>
  <si>
    <t>ID Type: (unselected)</t>
  </si>
  <si>
    <t>Inline validation error shown: 'ID Type is required'; user cannot proceed</t>
  </si>
  <si>
    <t>TC_SH_IDTYPE_03</t>
  </si>
  <si>
    <t>Verify 'ID Type' dropdown options are complete and correctly labeled</t>
  </si>
  <si>
    <t>1. Click the 'ID Type' dropdown
2. Review the full list of available options</t>
  </si>
  <si>
    <t>ID Type: full option list</t>
  </si>
  <si>
    <t>TC_SH_IDNUM_01</t>
  </si>
  <si>
    <t>Enter valid alphanumeric value in 'ID Number'</t>
  </si>
  <si>
    <t>1. Navigate to the step containing 'ID Number'
2. Enter a valid value matching the expected format
3. Proceed / Save</t>
  </si>
  <si>
    <t>ID Number: A1234567</t>
  </si>
  <si>
    <t>Value is accepted; no validation error is shown for 'ID Number'</t>
  </si>
  <si>
    <t>TC_SH_IDNUM_02</t>
  </si>
  <si>
    <t>Leave 'ID Number' empty and attempt to proceed</t>
  </si>
  <si>
    <t>1. Leave 'ID Number' field empty
2. Click 'Save and Proceed'</t>
  </si>
  <si>
    <t>ID Number: (empty)</t>
  </si>
  <si>
    <t>Inline validation error shown: 'ID Number is required'; user cannot proceed</t>
  </si>
  <si>
    <t>TC_SH_IDNUM_03</t>
  </si>
  <si>
    <t>Enter value with invalid format/characters in 'ID Number'</t>
  </si>
  <si>
    <t>1. Enter a value that does not match the expected format for 'ID Number' (e.g., 12@#$)
2. Attempt to proceed</t>
  </si>
  <si>
    <t>ID Number: 12@#$</t>
  </si>
  <si>
    <t>Validation error shown indicating the expected format for 'ID Number'; user cannot proceed with invalid input</t>
  </si>
  <si>
    <t>TC_SH_IDNUM_04</t>
  </si>
  <si>
    <t>Enter duplicate/already-used value in 'ID Number' (if uniqueness applies)</t>
  </si>
  <si>
    <t>1. Enter a value for 'ID Number' that is already registered/used elsewhere in the system
2. Attempt to proceed</t>
  </si>
  <si>
    <t>ID Number: duplicate value</t>
  </si>
  <si>
    <t>TC_SH_IDCOPY_U01</t>
  </si>
  <si>
    <t>Upload a clean file in an allowed format for 'Stakeholder ID Copy'</t>
  </si>
  <si>
    <t>1. Navigate to the step containing 'Stakeholder ID Copy'
2. Select a clean file matching an allowed format (PDF, JPG, JPEG) within 1 MB
3. Upload</t>
  </si>
  <si>
    <t>clean_sh_idcopy.pdf (within 1 MB)</t>
  </si>
  <si>
    <t>TC_SH_IDCOPY_U02</t>
  </si>
  <si>
    <t>Attempt to proceed without uploading 'Stakeholder ID Copy' (mandatory)</t>
  </si>
  <si>
    <t>1. Leave 'Stakeholder ID Copy' empty
2. Click 'Save and Proceed'</t>
  </si>
  <si>
    <t>Stakeholder ID Copy: (no file uploaded)</t>
  </si>
  <si>
    <t>Validation error shown: 'Stakeholder ID Copy is required'; user cannot proceed</t>
  </si>
  <si>
    <t>TC_SH_IDCOPY_U03</t>
  </si>
  <si>
    <t>Upload the EICAR antivirus test file to 'Stakeholder ID Copy'</t>
  </si>
  <si>
    <t>1. Prepare the EICAR test string as a .pdf file
2. Upload it to 'Stakeholder ID Copy'</t>
  </si>
  <si>
    <t>TC_SH_IDCOPY_U04</t>
  </si>
  <si>
    <t>Upload a file in an unsupported format to 'Stakeholder ID Copy'</t>
  </si>
  <si>
    <t>1. Select a file in a format not in the allowed list (PDF, JPG, JPEG)
2. Attempt to upload to 'Stakeholder ID Copy'</t>
  </si>
  <si>
    <t>Upload is rejected with a validation error indicating the allowed formats (PDF, JPG, JPEG)</t>
  </si>
  <si>
    <t>TC_SH_IDCOPY_U05</t>
  </si>
  <si>
    <t>Upload a file exceeding the maximum size limit for 'Stakeholder ID Copy'</t>
  </si>
  <si>
    <t>1. Select a file exceeding 1 MB
2. Attempt to upload to 'Stakeholder ID Copy'</t>
  </si>
  <si>
    <t>oversized_sh_idcopy.pdf (exceeds 1 MB)</t>
  </si>
  <si>
    <t>TC_SH_IDCOPY_U06</t>
  </si>
  <si>
    <t>Upload a corrupted/malformed file to 'Stakeholder ID Copy'</t>
  </si>
  <si>
    <t>1. Prepare a deliberately corrupted file with a valid extension
2. Upload it to 'Stakeholder ID Copy'</t>
  </si>
  <si>
    <t>corrupted_sh_idcopy.pdf</t>
  </si>
  <si>
    <t>TC_SH_ADD01</t>
  </si>
  <si>
    <t>Add multiple stakeholders successfully</t>
  </si>
  <si>
    <t>1. Fill in valid stakeholder details
2. Click 'ADD STAKEHOLDER'
3. Repeat for a second stakeholder
4. Verify both appear in the stakeholders table</t>
  </si>
  <si>
    <t>Stakeholder A: 60% share; Stakeholder B: 40% share</t>
  </si>
  <si>
    <t>Both stakeholders are added and listed correctly in the table with all entered details (Full Name, DOB, Nationality, Residency, Share%, ID Type, ID Number)</t>
  </si>
  <si>
    <t>TC_SH_ADD02</t>
  </si>
  <si>
    <t>Edit or remove a previously added stakeholder</t>
  </si>
  <si>
    <t>1. Add a stakeholder
2. Locate the edit/delete action for that row in the stakeholders table
3. Edit or remove the entry</t>
  </si>
  <si>
    <t>Existing stakeholder row</t>
  </si>
  <si>
    <t>Stakeholder details can be edited or removed correctly; the table updates accordingly</t>
  </si>
  <si>
    <t>TC_SH_SHARE_SUM01</t>
  </si>
  <si>
    <t>Total share percentage across all stakeholders must not exceed 100%</t>
  </si>
  <si>
    <t>1. Add stakeholders whose Share Percentage values sum to more than 100%
2. Attempt to proceed</t>
  </si>
  <si>
    <t>Stakeholder A: 70%; Stakeholder B: 50% (total 120%)</t>
  </si>
  <si>
    <t>Validation error shown indicating total shareholding cannot exceed 100%; user cannot proceed until corrected</t>
  </si>
  <si>
    <t>TC_SH_SHARE_SUM02</t>
  </si>
  <si>
    <t>Total share percentage across all stakeholders equals exactly 100%</t>
  </si>
  <si>
    <t>1. Add stakeholders whose Share Percentage values sum to exactly 100%
2. Attempt to proceed</t>
  </si>
  <si>
    <t>Stakeholder A: 60%; Stakeholder B: 40% (total 100%)</t>
  </si>
  <si>
    <t>Validation passes; user can proceed to the next step</t>
  </si>
  <si>
    <t>TC_SH_MIN01</t>
  </si>
  <si>
    <t>At least one stakeholder must be added before proceeding</t>
  </si>
  <si>
    <t>1. Do not add any stakeholder
2. Attempt to click 'Save and Proceed'</t>
  </si>
  <si>
    <t>No stakeholders added</t>
  </si>
  <si>
    <t>Validation error shown requiring at least one stakeholder to be added; user cannot proceed</t>
  </si>
  <si>
    <t>TC_AS_NAME_01</t>
  </si>
  <si>
    <t>Authorized Signatory Details</t>
  </si>
  <si>
    <t>Enter valid value in 'Authorized Signatory Name' field</t>
  </si>
  <si>
    <t>1. Navigate to the step containing 'Authorized Signatory Name'
2. Enter a valid value
3. Proceed / Save</t>
  </si>
  <si>
    <t>Authorized Signatory Name: Rehan</t>
  </si>
  <si>
    <t>Value is accepted; no validation error is shown for 'Authorized Signatory Name'</t>
  </si>
  <si>
    <t>TC_AS_NAME_02</t>
  </si>
  <si>
    <t>Leave 'Authorized Signatory Name' empty and attempt to proceed</t>
  </si>
  <si>
    <t>1. Leave 'Authorized Signatory Name' field empty
2. Click 'Save and Proceed'</t>
  </si>
  <si>
    <t>Authorized Signatory Name: (empty)</t>
  </si>
  <si>
    <t>Inline validation error shown: 'Authorized Signatory Name is required'; user cannot proceed to the next step</t>
  </si>
  <si>
    <t>TC_AS_NAME_03</t>
  </si>
  <si>
    <t>Enter script/special-character injection in 'Authorized Signatory Name'</t>
  </si>
  <si>
    <t>1. Enter a script/SQL injection payload in 'Authorized Signatory Name'
2. Attempt to proceed</t>
  </si>
  <si>
    <t>Authorized Signatory Name: &lt;script&gt;alert(1)&lt;/script&gt;</t>
  </si>
  <si>
    <t>TC_AS_NAME_04</t>
  </si>
  <si>
    <t>Enter value exceeding maximum length in 'Authorized Signatory Name'</t>
  </si>
  <si>
    <t>1. Enter an excessively long value (e.g., 300+ characters) in 'Authorized Signatory Name'
2. Attempt to proceed</t>
  </si>
  <si>
    <t>Authorized Signatory Name: 300+ character string</t>
  </si>
  <si>
    <t>TC_AS_DESIG_01</t>
  </si>
  <si>
    <t>Enter valid value in 'Designation' field</t>
  </si>
  <si>
    <t>1. Navigate to the step containing 'Designation'
2. Enter a valid value
3. Proceed / Save</t>
  </si>
  <si>
    <t>Designation: Head of Management</t>
  </si>
  <si>
    <t>Value is accepted; no validation error is shown for 'Designation'</t>
  </si>
  <si>
    <t>TC_AS_DESIG_02</t>
  </si>
  <si>
    <t>Leave 'Designation' empty and attempt to proceed</t>
  </si>
  <si>
    <t>1. Leave 'Designation' field empty
2. Click 'Save and Proceed'</t>
  </si>
  <si>
    <t>Designation: (empty)</t>
  </si>
  <si>
    <t>Inline validation error shown: 'Designation is required'; user cannot proceed to the next step</t>
  </si>
  <si>
    <t>TC_AS_DESIG_03</t>
  </si>
  <si>
    <t>Enter script/special-character injection in 'Designation'</t>
  </si>
  <si>
    <t>1. Enter a script/SQL injection payload in 'Designation'
2. Attempt to proceed</t>
  </si>
  <si>
    <t>Designation: &lt;script&gt;alert(1)&lt;/script&gt;</t>
  </si>
  <si>
    <t>TC_AS_DESIG_04</t>
  </si>
  <si>
    <t>Enter value exceeding maximum length in 'Designation'</t>
  </si>
  <si>
    <t>1. Enter an excessively long value (e.g., 300+ characters) in 'Designation'
2. Attempt to proceed</t>
  </si>
  <si>
    <t>Designation: 300+ character string</t>
  </si>
  <si>
    <t>TC_AS_EMAIL_01</t>
  </si>
  <si>
    <t>Enter a valid email in 'Email'</t>
  </si>
  <si>
    <t>1. Navigate to the step containing 'Email'
2. Enter a valid email address
3. Proceed / Save</t>
  </si>
  <si>
    <t>Email: rehan.airlines@rehanairlines.com</t>
  </si>
  <si>
    <t>TC_AS_EMAIL_02</t>
  </si>
  <si>
    <t>Leave 'Email' empty and attempt to proceed</t>
  </si>
  <si>
    <t>1. Leave 'Email' empty
2. Click 'Save and Proceed'</t>
  </si>
  <si>
    <t>Email: (empty)</t>
  </si>
  <si>
    <t>Inline validation error shown: 'Email is required'; user cannot proceed</t>
  </si>
  <si>
    <t>TC_AS_EMAIL_03</t>
  </si>
  <si>
    <t>Enter an invalid email format in 'Email'</t>
  </si>
  <si>
    <t>1. Enter a malformed email (e.g., 'user@', 'user.com')
2. Attempt to proceed</t>
  </si>
  <si>
    <t>Email: user@, user.com</t>
  </si>
  <si>
    <t>Validation error shown: 'Enter a valid email address'; user cannot proceed</t>
  </si>
  <si>
    <t>TC_AS_DOB_01</t>
  </si>
  <si>
    <t>Date of Birth: 10-Jan-1980</t>
  </si>
  <si>
    <t>TC_AS_DOB_02</t>
  </si>
  <si>
    <t>TC_AS_DOB_03</t>
  </si>
  <si>
    <t>TC_AS_DOB_04</t>
  </si>
  <si>
    <t>TC_AS_NAT_01</t>
  </si>
  <si>
    <t>TC_AS_NAT_02</t>
  </si>
  <si>
    <t>TC_AS_NAT_03</t>
  </si>
  <si>
    <t>TC_AS_RES_01</t>
  </si>
  <si>
    <t>TC_AS_RES_02</t>
  </si>
  <si>
    <t>TC_AS_RES_03</t>
  </si>
  <si>
    <t>TC_AS_IDTYPE_01</t>
  </si>
  <si>
    <t>ID Type: Emirates ID</t>
  </si>
  <si>
    <t>TC_AS_IDTYPE_02</t>
  </si>
  <si>
    <t>TC_AS_IDTYPE_03</t>
  </si>
  <si>
    <t>TC_AS_IDNUM_01</t>
  </si>
  <si>
    <t>ID Number: 784-1980-1234567-1</t>
  </si>
  <si>
    <t>TC_AS_IDNUM_02</t>
  </si>
  <si>
    <t>TC_AS_IDNUM_03</t>
  </si>
  <si>
    <t>1. Enter a value that does not match the expected format for 'ID Number' (e.g., 784-abc-###)
2. Attempt to proceed</t>
  </si>
  <si>
    <t>ID Number: 784-abc-###</t>
  </si>
  <si>
    <t>TC_AS_IDNUM_04</t>
  </si>
  <si>
    <t>TC_AS_UPLOAD_CHK01</t>
  </si>
  <si>
    <t>Confirm whether an ID Copy upload is required for Authorized Signatory</t>
  </si>
  <si>
    <t>1. Navigate to the Authorized Signatory Details step
2. Scroll through the full form to check for an ID Copy upload field</t>
  </si>
  <si>
    <t>Confirm whether an ID Copy upload field exists for this step; if so, apply the standard upload + ClamAV test set (see Stakeholder ID Copy pattern) to it</t>
  </si>
  <si>
    <t>Not clearly visible in the recording — confirm with Dev/BA and add upload-specific test cases if applicable</t>
  </si>
  <si>
    <t>TC_BANK_IBAN_01</t>
  </si>
  <si>
    <t>Bank Account Details</t>
  </si>
  <si>
    <t>Enter valid alphanumeric value in 'IBAN'</t>
  </si>
  <si>
    <t>1. Navigate to the step containing 'IBAN'
2. Enter a valid value matching the expected format
3. Proceed / Save</t>
  </si>
  <si>
    <t>IBAN: AE278347873827842378347234</t>
  </si>
  <si>
    <t>Value is accepted; no validation error is shown for 'IBAN'</t>
  </si>
  <si>
    <t>TC_BANK_IBAN_02</t>
  </si>
  <si>
    <t>Leave 'IBAN' empty and attempt to proceed</t>
  </si>
  <si>
    <t>1. Leave 'IBAN' field empty
2. Click 'Save and Proceed'</t>
  </si>
  <si>
    <t>IBAN: (empty)</t>
  </si>
  <si>
    <t>Inline validation error shown: 'IBAN is required'; user cannot proceed</t>
  </si>
  <si>
    <t>TC_BANK_IBAN_03</t>
  </si>
  <si>
    <t>Enter value with invalid format/characters in 'IBAN'</t>
  </si>
  <si>
    <t>1. Enter a value that does not match the expected format for 'IBAN' (e.g., AE12)
2. Attempt to proceed</t>
  </si>
  <si>
    <t>IBAN: AE12</t>
  </si>
  <si>
    <t>Validation error shown indicating the expected format for 'IBAN'; user cannot proceed with invalid input</t>
  </si>
  <si>
    <t>TC_BANK_IBAN_04</t>
  </si>
  <si>
    <t>Enter duplicate/already-used value in 'IBAN' (if uniqueness applies)</t>
  </si>
  <si>
    <t>1. Enter a value for 'IBAN' that is already registered/used elsewhere in the system
2. Attempt to proceed</t>
  </si>
  <si>
    <t>IBAN: duplicate value</t>
  </si>
  <si>
    <t>TC_BANK_ACCNUM_01</t>
  </si>
  <si>
    <t>Enter valid alphanumeric value in 'Account Number'</t>
  </si>
  <si>
    <t>1. Navigate to the step containing 'Account Number'
2. Enter a valid value matching the expected format
3. Proceed / Save</t>
  </si>
  <si>
    <t>Account Number: 1234567890123</t>
  </si>
  <si>
    <t>Value is accepted; no validation error is shown for 'Account Number'</t>
  </si>
  <si>
    <t>TC_BANK_ACCNUM_02</t>
  </si>
  <si>
    <t>Leave 'Account Number' empty and attempt to proceed</t>
  </si>
  <si>
    <t>1. Leave 'Account Number' field empty
2. Click 'Save and Proceed'</t>
  </si>
  <si>
    <t>Account Number: (empty)</t>
  </si>
  <si>
    <t>Inline validation error shown: 'Account Number is required'; user cannot proceed</t>
  </si>
  <si>
    <t>TC_BANK_ACCNUM_03</t>
  </si>
  <si>
    <t>Enter value with invalid format/characters in 'Account Number'</t>
  </si>
  <si>
    <t>1. Enter a value that does not match the expected format for 'Account Number' (e.g., None)
2. Attempt to proceed</t>
  </si>
  <si>
    <t>Account Number: None</t>
  </si>
  <si>
    <t>Validation error shown indicating the expected format for 'Account Number'; user cannot proceed with invalid input</t>
  </si>
  <si>
    <t>TC_BANK_ACCNUM_04</t>
  </si>
  <si>
    <t>Enter duplicate/already-used value in 'Account Number' (if uniqueness applies)</t>
  </si>
  <si>
    <t>1. Enter a value for 'Account Number' that is already registered/used elsewhere in the system
2. Attempt to proceed</t>
  </si>
  <si>
    <t>Account Number: duplicate value</t>
  </si>
  <si>
    <t>TC_BANK_ACCNAME_01</t>
  </si>
  <si>
    <t>Enter valid value in 'Account Name' field</t>
  </si>
  <si>
    <t>1. Navigate to the step containing 'Account Name'
2. Enter a valid value
3. Proceed / Save</t>
  </si>
  <si>
    <t>Account Name: Rehan Airlines LLC</t>
  </si>
  <si>
    <t>Value is accepted; no validation error is shown for 'Account Name'</t>
  </si>
  <si>
    <t>TC_BANK_ACCNAME_02</t>
  </si>
  <si>
    <t>Leave 'Account Name' empty and attempt to proceed</t>
  </si>
  <si>
    <t>1. Leave 'Account Name' field empty
2. Click 'Save and Proceed'</t>
  </si>
  <si>
    <t>Account Name: (empty)</t>
  </si>
  <si>
    <t>Inline validation error shown: 'Account Name is required'; user cannot proceed to the next step</t>
  </si>
  <si>
    <t>TC_BANK_ACCNAME_03</t>
  </si>
  <si>
    <t>Enter script/special-character injection in 'Account Name'</t>
  </si>
  <si>
    <t>1. Enter a script/SQL injection payload in 'Account Name'
2. Attempt to proceed</t>
  </si>
  <si>
    <t>Account Name: &lt;script&gt;alert(1)&lt;/script&gt;</t>
  </si>
  <si>
    <t>TC_BANK_ACCNAME_04</t>
  </si>
  <si>
    <t>Enter value exceeding maximum length in 'Account Name'</t>
  </si>
  <si>
    <t>1. Enter an excessively long value (e.g., 300+ characters) in 'Account Name'
2. Attempt to proceed</t>
  </si>
  <si>
    <t>Account Name: 300+ character string</t>
  </si>
  <si>
    <t>TC_BANK_NAME_01</t>
  </si>
  <si>
    <t>Enter valid value in 'Bank Name' field</t>
  </si>
  <si>
    <t>1. Navigate to the step containing 'Bank Name'
2. Enter a valid value
3. Proceed / Save</t>
  </si>
  <si>
    <t>Bank Name: Emirates NBD</t>
  </si>
  <si>
    <t>Value is accepted; no validation error is shown for 'Bank Name'</t>
  </si>
  <si>
    <t>TC_BANK_NAME_02</t>
  </si>
  <si>
    <t>Leave 'Bank Name' empty and attempt to proceed</t>
  </si>
  <si>
    <t>1. Leave 'Bank Name' field empty
2. Click 'Save and Proceed'</t>
  </si>
  <si>
    <t>Bank Name: (empty)</t>
  </si>
  <si>
    <t>Inline validation error shown: 'Bank Name is required'; user cannot proceed to the next step</t>
  </si>
  <si>
    <t>TC_BANK_NAME_03</t>
  </si>
  <si>
    <t>Enter script/special-character injection in 'Bank Name'</t>
  </si>
  <si>
    <t>1. Enter a script/SQL injection payload in 'Bank Name'
2. Attempt to proceed</t>
  </si>
  <si>
    <t>Bank Name: &lt;script&gt;alert(1)&lt;/script&gt;</t>
  </si>
  <si>
    <t>TC_BANK_NAME_04</t>
  </si>
  <si>
    <t>Enter value exceeding maximum length in 'Bank Name'</t>
  </si>
  <si>
    <t>1. Enter an excessively long value (e.g., 300+ characters) in 'Bank Name'
2. Attempt to proceed</t>
  </si>
  <si>
    <t>Bank Name: 300+ character string</t>
  </si>
  <si>
    <t>TC_BANK_ACCCUR_01</t>
  </si>
  <si>
    <t>Select a valid option in 'Account Currency' dropdown</t>
  </si>
  <si>
    <t>1. Click the 'Account Currency' dropdown
2. Select a valid option
3. Proceed / Save</t>
  </si>
  <si>
    <t>Account Currency: AED</t>
  </si>
  <si>
    <t>TC_BANK_ACCCUR_02</t>
  </si>
  <si>
    <t>Leave 'Account Currency' dropdown unselected and attempt to proceed</t>
  </si>
  <si>
    <t>1. Leave 'Account Currency' at its default/placeholder state
2. Click 'Save and Proceed'</t>
  </si>
  <si>
    <t>Account Currency: (unselected)</t>
  </si>
  <si>
    <t>Inline validation error shown: 'Account Currency is required'; user cannot proceed</t>
  </si>
  <si>
    <t>TC_BANK_ACCCUR_03</t>
  </si>
  <si>
    <t>Verify 'Account Currency' dropdown options are complete and correctly labeled</t>
  </si>
  <si>
    <t>1. Click the 'Account Currency' dropdown
2. Review the full list of available options</t>
  </si>
  <si>
    <t>Account Currency: full option list</t>
  </si>
  <si>
    <t>TC_BANK_SETCUR_01</t>
  </si>
  <si>
    <t>Select a valid option in 'Settlement Currency' dropdown</t>
  </si>
  <si>
    <t>1. Click the 'Settlement Currency' dropdown
2. Select a valid option
3. Proceed / Save</t>
  </si>
  <si>
    <t>Settlement Currency: AED</t>
  </si>
  <si>
    <t>TC_BANK_SETCUR_02</t>
  </si>
  <si>
    <t>Leave 'Settlement Currency' dropdown unselected and attempt to proceed</t>
  </si>
  <si>
    <t>1. Leave 'Settlement Currency' at its default/placeholder state
2. Click 'Save and Proceed'</t>
  </si>
  <si>
    <t>Settlement Currency: (unselected)</t>
  </si>
  <si>
    <t>Inline validation error shown: 'Settlement Currency is required'; user cannot proceed</t>
  </si>
  <si>
    <t>TC_BANK_SETCUR_03</t>
  </si>
  <si>
    <t>Verify 'Settlement Currency' dropdown options are complete and correctly labeled</t>
  </si>
  <si>
    <t>1. Click the 'Settlement Currency' dropdown
2. Review the full list of available options</t>
  </si>
  <si>
    <t>Settlement Currency: full option list</t>
  </si>
  <si>
    <t>TC_BANK_BRANCH_01</t>
  </si>
  <si>
    <t>Enter valid value in 'Bank Branch' field</t>
  </si>
  <si>
    <t>1. Navigate to the step containing 'Bank Branch'
2. Enter a valid value
3. Proceed / Save</t>
  </si>
  <si>
    <t>Bank Branch: Sheikh Zayed Road Branch</t>
  </si>
  <si>
    <t>Value is accepted; no validation error is shown for 'Bank Branch'</t>
  </si>
  <si>
    <t>TC_BANK_BRANCH_02</t>
  </si>
  <si>
    <t>Leave 'Bank Branch' empty and attempt to proceed</t>
  </si>
  <si>
    <t>1. Leave 'Bank Branch' field empty
2. Click 'Save and Proceed'</t>
  </si>
  <si>
    <t>Bank Branch: (empty)</t>
  </si>
  <si>
    <t>Inline validation error shown: 'Bank Branch is required'; user cannot proceed to the next step</t>
  </si>
  <si>
    <t>TC_BANK_BRANCH_03</t>
  </si>
  <si>
    <t>Enter script/special-character injection in 'Bank Branch'</t>
  </si>
  <si>
    <t>1. Enter a script/SQL injection payload in 'Bank Branch'
2. Attempt to proceed</t>
  </si>
  <si>
    <t>Bank Branch: &lt;script&gt;alert(1)&lt;/script&gt;</t>
  </si>
  <si>
    <t>TC_BANK_BRANCH_04</t>
  </si>
  <si>
    <t>Enter value exceeding maximum length in 'Bank Branch'</t>
  </si>
  <si>
    <t>1. Enter an excessively long value (e.g., 300+ characters) in 'Bank Branch'
2. Attempt to proceed</t>
  </si>
  <si>
    <t>Bank Branch: 300+ character string</t>
  </si>
  <si>
    <t>TC_BANK_EMIRATE_01</t>
  </si>
  <si>
    <t>Select a valid option in 'Bank Emirate' dropdown</t>
  </si>
  <si>
    <t>1. Click the 'Bank Emirate' dropdown
2. Select a valid option
3. Proceed / Save</t>
  </si>
  <si>
    <t>Bank Emirate: Dubai</t>
  </si>
  <si>
    <t>TC_BANK_EMIRATE_02</t>
  </si>
  <si>
    <t>Leave 'Bank Emirate' dropdown unselected and attempt to proceed</t>
  </si>
  <si>
    <t>1. Leave 'Bank Emirate' at its default/placeholder state
2. Click 'Save and Proceed'</t>
  </si>
  <si>
    <t>Bank Emirate: (unselected)</t>
  </si>
  <si>
    <t>Inline validation error shown: 'Bank Emirate is required'; user cannot proceed</t>
  </si>
  <si>
    <t>TC_BANK_EMIRATE_03</t>
  </si>
  <si>
    <t>Verify 'Bank Emirate' dropdown options are complete and correctly labeled</t>
  </si>
  <si>
    <t>1. Click the 'Bank Emirate' dropdown
2. Review the full list of available options</t>
  </si>
  <si>
    <t>Bank Emirate: full option list</t>
  </si>
  <si>
    <t>TC_BANK_LETTER_U01</t>
  </si>
  <si>
    <t>Upload a clean file in an allowed format for 'Bank Letter'</t>
  </si>
  <si>
    <t>1. Navigate to the step containing 'Bank Letter'
2. Select a clean file matching an allowed format (PDF, DOC, DOCX) within 1 MB
3. Upload</t>
  </si>
  <si>
    <t>clean_bank_letter.pdf (within 1 MB)</t>
  </si>
  <si>
    <t>TC_BANK_LETTER_U02</t>
  </si>
  <si>
    <t>Attempt to proceed without uploading 'Bank Letter' (mandatory)</t>
  </si>
  <si>
    <t>1. Leave 'Bank Letter' empty
2. Click 'Save and Proceed'</t>
  </si>
  <si>
    <t>Bank Letter: (no file uploaded)</t>
  </si>
  <si>
    <t>Validation error shown: 'Bank Letter is required'; user cannot proceed</t>
  </si>
  <si>
    <t>TC_BANK_LETTER_U03</t>
  </si>
  <si>
    <t>Upload the EICAR antivirus test file to 'Bank Letter'</t>
  </si>
  <si>
    <t>1. Prepare the EICAR test string as a .pdf file
2. Upload it to 'Bank Letter'</t>
  </si>
  <si>
    <t>TC_BANK_LETTER_U04</t>
  </si>
  <si>
    <t>Upload a file in an unsupported format to 'Bank Letter'</t>
  </si>
  <si>
    <t>1. Select a file in a format not in the allowed list (PDF, DOC, DOCX)
2. Attempt to upload to 'Bank Letter'</t>
  </si>
  <si>
    <t>Upload is rejected with a validation error indicating the allowed formats (PDF, DOC, DOCX)</t>
  </si>
  <si>
    <t>TC_BANK_LETTER_U05</t>
  </si>
  <si>
    <t>Upload a file exceeding the maximum size limit for 'Bank Letter'</t>
  </si>
  <si>
    <t>1. Select a file exceeding 1 MB
2. Attempt to upload to 'Bank Letter'</t>
  </si>
  <si>
    <t>oversized_bank_letter.pdf (exceeds 1 MB)</t>
  </si>
  <si>
    <t>TC_BANK_LETTER_U06</t>
  </si>
  <si>
    <t>Upload a corrupted/malformed file to 'Bank Letter'</t>
  </si>
  <si>
    <t>1. Prepare a deliberately corrupted file with a valid extension
2. Upload it to 'Bank Letter'</t>
  </si>
  <si>
    <t>corrupted_bank_letter.pdf</t>
  </si>
  <si>
    <t>TC_BANK_ADD01</t>
  </si>
  <si>
    <t>Add multiple bank accounts successfully</t>
  </si>
  <si>
    <t>1. Fill in valid bank account details
2. Click 'Add Account'
3. Repeat for a second account
4. Verify both appear in the bank accounts table</t>
  </si>
  <si>
    <t>Account A: AED; Account B: USD</t>
  </si>
  <si>
    <t>Both accounts are added and listed correctly in the table with all entered details</t>
  </si>
  <si>
    <t>TC_BANK_MIN01</t>
  </si>
  <si>
    <t>At least one bank account must be added before proceeding</t>
  </si>
  <si>
    <t>1. Do not add any bank account
2. Attempt to click 'Save and Proceed'</t>
  </si>
  <si>
    <t>No bank accounts added</t>
  </si>
  <si>
    <t>Validation error shown requiring at least one bank account to be added; user cannot proceed</t>
  </si>
  <si>
    <t>TC_BANK_IBAN_CHECKSUM01</t>
  </si>
  <si>
    <t>IBAN checksum/format validation for the correct country</t>
  </si>
  <si>
    <t>1. Enter an IBAN with an invalid checksum or incorrect length for the selected country
2. Attempt to proceed</t>
  </si>
  <si>
    <t>IBAN: AE12INVALID000</t>
  </si>
  <si>
    <t>Validation error shown indicating the IBAN format/checksum is invalid for the selected country</t>
  </si>
  <si>
    <t>TC_ADMIN_NAME_01</t>
  </si>
  <si>
    <t>Account Admin Details</t>
  </si>
  <si>
    <t>Select a valid option in 'Admin Name' dropdown</t>
  </si>
  <si>
    <t>1. Click the 'Admin Name' dropdown
2. Select a valid option
3. Proceed / Save</t>
  </si>
  <si>
    <t>Admin Name: Dinesh (existing) or a newly typed name</t>
  </si>
  <si>
    <t>TC_ADMIN_NAME_02</t>
  </si>
  <si>
    <t>Leave 'Admin Name' dropdown unselected and attempt to proceed</t>
  </si>
  <si>
    <t>1. Leave 'Admin Name' at its default/placeholder state
2. Click 'Save and Proceed'</t>
  </si>
  <si>
    <t>Admin Name: (unselected)</t>
  </si>
  <si>
    <t>Inline validation error shown: 'Admin Name is required'; user cannot proceed</t>
  </si>
  <si>
    <t>TC_ADMIN_NAME_03</t>
  </si>
  <si>
    <t>Verify 'Admin Name' dropdown options are complete and correctly labeled</t>
  </si>
  <si>
    <t>1. Click the 'Admin Name' dropdown
2. Review the full list of available options</t>
  </si>
  <si>
    <t>Admin Name: full option list</t>
  </si>
  <si>
    <t>TC_ADMIN_MOBILE_01</t>
  </si>
  <si>
    <t>Enter a valid mobile number with country code in 'Admin Mobile Number'</t>
  </si>
  <si>
    <t>Admin Mobile Number: +971 501234567</t>
  </si>
  <si>
    <t>TC_ADMIN_MOBILE_02</t>
  </si>
  <si>
    <t>Leave 'Admin Mobile Number' empty and attempt to proceed</t>
  </si>
  <si>
    <t>1. Leave 'Admin Mobile Number' empty
2. Click 'Save and Proceed'</t>
  </si>
  <si>
    <t>Admin Mobile Number: (empty)</t>
  </si>
  <si>
    <t>Inline validation error shown: 'Admin Mobile Number is required'; user cannot proceed</t>
  </si>
  <si>
    <t>TC_ADMIN_MOBILE_03</t>
  </si>
  <si>
    <t>Enter an invalid/incomplete number in 'Admin Mobile Number'</t>
  </si>
  <si>
    <t>Admin Mobile Number: 123 or 37845abc4</t>
  </si>
  <si>
    <t>TC_ADMIN_EMAIL01</t>
  </si>
  <si>
    <t>Admin Email field is correctly pre-populated and read-only (if applicable)</t>
  </si>
  <si>
    <t>1. Navigate to Account Admin Details
2. Observe the Email field's pre-filled value and editability</t>
  </si>
  <si>
    <t>Email: rehanairlines@... (pre-filled)</t>
  </si>
  <si>
    <t>Email field is correctly pre-populated based on the selected/entered Admin; field is read-only if the admin was selected from the existing list, or editable if a new admin is being created — confirm intended behaviour</t>
  </si>
  <si>
    <t>TC_ADMIN_EIDNUM_01</t>
  </si>
  <si>
    <t>Enter valid alphanumeric value in 'Emirates ID Number'</t>
  </si>
  <si>
    <t>1. Navigate to the step containing 'Emirates ID Number'
2. Enter a valid value matching the expected format
3. Proceed / Save</t>
  </si>
  <si>
    <t>Emirates ID Number: 784-1990-1234567-1</t>
  </si>
  <si>
    <t>Value is accepted; no validation error is shown for 'Emirates ID Number'</t>
  </si>
  <si>
    <t>TC_ADMIN_EIDNUM_02</t>
  </si>
  <si>
    <t>Leave 'Emirates ID Number' empty and attempt to proceed</t>
  </si>
  <si>
    <t>1. Leave 'Emirates ID Number' field empty
2. Click 'Save and Proceed'</t>
  </si>
  <si>
    <t>Emirates ID Number: (empty)</t>
  </si>
  <si>
    <t>Inline validation error shown: 'Emirates ID Number is required'; user cannot proceed</t>
  </si>
  <si>
    <t>TC_ADMIN_EIDNUM_03</t>
  </si>
  <si>
    <t>Enter value with invalid format/characters in 'Emirates ID Number'</t>
  </si>
  <si>
    <t>1. Enter a value that does not match the expected format for 'Emirates ID Number' (e.g., 784-XX-000)
2. Attempt to proceed</t>
  </si>
  <si>
    <t>Emirates ID Number: 784-XX-000</t>
  </si>
  <si>
    <t>Validation error shown indicating the expected format for 'Emirates ID Number'; user cannot proceed with invalid input</t>
  </si>
  <si>
    <t>TC_ADMIN_EIDNUM_04</t>
  </si>
  <si>
    <t>Enter duplicate/already-used value in 'Emirates ID Number' (if uniqueness applies)</t>
  </si>
  <si>
    <t>1. Enter a value for 'Emirates ID Number' that is already registered/used elsewhere in the system
2. Attempt to proceed</t>
  </si>
  <si>
    <t>Emirates ID Number: duplicate value</t>
  </si>
  <si>
    <t>TC_ADMIN_EIDCOPY_U01</t>
  </si>
  <si>
    <t>Upload a clean file in an allowed format for 'Emirates ID Copy'</t>
  </si>
  <si>
    <t>1. Navigate to the step containing 'Emirates ID Copy'
2. Select a clean file matching an allowed format (PDF, JPG, JPEG, PNG, DOC, DOCX) within 1 MB
3. Upload</t>
  </si>
  <si>
    <t>clean_admin_eidcopy.pdf (within 1 MB)</t>
  </si>
  <si>
    <t>TC_ADMIN_EIDCOPY_U02</t>
  </si>
  <si>
    <t>Attempt to proceed without uploading 'Emirates ID Copy' (mandatory)</t>
  </si>
  <si>
    <t>1. Leave 'Emirates ID Copy' empty
2. Click 'Save and Proceed'</t>
  </si>
  <si>
    <t>Emirates ID Copy: (no file uploaded)</t>
  </si>
  <si>
    <t>Validation error shown: 'Emirates ID Copy is required'; user cannot proceed</t>
  </si>
  <si>
    <t>TC_ADMIN_EIDCOPY_U03</t>
  </si>
  <si>
    <t>Upload the EICAR antivirus test file to 'Emirates ID Copy'</t>
  </si>
  <si>
    <t>1. Prepare the EICAR test string as a .pdf file
2. Upload it to 'Emirates ID Copy'</t>
  </si>
  <si>
    <t>TC_ADMIN_EIDCOPY_U04</t>
  </si>
  <si>
    <t>Upload a file in an unsupported format to 'Emirates ID Copy'</t>
  </si>
  <si>
    <t>1. Select a file in a format not in the allowed list (PDF, JPG, JPEG, PNG, DOC, DOCX)
2. Attempt to upload to 'Emirates ID Copy'</t>
  </si>
  <si>
    <t>Upload is rejected with a validation error indicating the allowed formats (PDF, JPG, JPEG, PNG, DOC, DOCX)</t>
  </si>
  <si>
    <t>TC_ADMIN_EIDCOPY_U05</t>
  </si>
  <si>
    <t>Upload a file exceeding the maximum size limit for 'Emirates ID Copy'</t>
  </si>
  <si>
    <t>1. Select a file exceeding 1 MB
2. Attempt to upload to 'Emirates ID Copy'</t>
  </si>
  <si>
    <t>oversized_admin_eidcopy.pdf (exceeds 1 MB)</t>
  </si>
  <si>
    <t>TC_ADMIN_EIDCOPY_U06</t>
  </si>
  <si>
    <t>Upload a corrupted/malformed file to 'Emirates ID Copy'</t>
  </si>
  <si>
    <t>1. Prepare a deliberately corrupted file with a valid extension
2. Upload it to 'Emirates ID Copy'</t>
  </si>
  <si>
    <t>corrupted_admin_eidcopy.pdf</t>
  </si>
  <si>
    <t>TC_ADMIN_SELECT01</t>
  </si>
  <si>
    <t>Selecting an existing Admin from the dropdown auto-fills their details</t>
  </si>
  <si>
    <t>1. Click the Admin Name dropdown
2. Select an existing admin (e.g., 'Helio Admin')
3. Observe other fields</t>
  </si>
  <si>
    <t>Existing admin: Helio Admin</t>
  </si>
  <si>
    <t>Selecting an existing admin auto-populates their associated details (e.g., Email) correctly and consistently</t>
  </si>
  <si>
    <t>TC_INV_PDF_TEMPLATE_U01</t>
  </si>
  <si>
    <t>Invoice Templates</t>
  </si>
  <si>
    <t>Upload a clean file in an allowed format for 'Invoice PDF Template'</t>
  </si>
  <si>
    <t>1. Navigate to the step containing 'Invoice PDF Template'
2. Select a clean file matching an allowed format (PDF) within 1 MB
3. Upload</t>
  </si>
  <si>
    <t>clean_inv_pdf_template.pdf (within 1 MB)</t>
  </si>
  <si>
    <t>TC_INV_PDF_TEMPLATE_U03</t>
  </si>
  <si>
    <t>Upload the EICAR antivirus test file to 'Invoice PDF Template'</t>
  </si>
  <si>
    <t>1. Prepare the EICAR test string as a .pdf file
2. Upload it to 'Invoice PDF Template'</t>
  </si>
  <si>
    <t>TC_INV_PDF_TEMPLATE_U04</t>
  </si>
  <si>
    <t>Upload a file in an unsupported format to 'Invoice PDF Template'</t>
  </si>
  <si>
    <t>1. Select a file in a format not in the allowed list (PDF)
2. Attempt to upload to 'Invoice PDF Template'</t>
  </si>
  <si>
    <t>Upload is rejected with a validation error indicating the allowed formats (PDF)</t>
  </si>
  <si>
    <t>TC_INV_PDF_TEMPLATE_U05</t>
  </si>
  <si>
    <t>Upload a file exceeding the maximum size limit for 'Invoice PDF Template'</t>
  </si>
  <si>
    <t>1. Select a file exceeding 1 MB
2. Attempt to upload to 'Invoice PDF Template'</t>
  </si>
  <si>
    <t>oversized_inv_pdf_template.pdf (exceeds 1 MB)</t>
  </si>
  <si>
    <t>TC_INV_PDF_TEMPLATE_U06</t>
  </si>
  <si>
    <t>Upload a corrupted/malformed file to 'Invoice PDF Template'</t>
  </si>
  <si>
    <t>1. Prepare a deliberately corrupted file with a valid extension
2. Upload it to 'Invoice PDF Template'</t>
  </si>
  <si>
    <t>corrupted_inv_pdf_template.pdf</t>
  </si>
  <si>
    <t>TC_INV_CSV_TEMPLATE_U01</t>
  </si>
  <si>
    <t>Upload a clean file in an allowed format for 'Invoice CSV Template'</t>
  </si>
  <si>
    <t>1. Navigate to the step containing 'Invoice CSV Template'
2. Select a clean file matching an allowed format (CSV) within 1 MB
3. Upload</t>
  </si>
  <si>
    <t>clean_inv_csv_template.csv (within 1 MB)</t>
  </si>
  <si>
    <t>TC_INV_CSV_TEMPLATE_U03</t>
  </si>
  <si>
    <t>Upload the EICAR antivirus test file to 'Invoice CSV Template'</t>
  </si>
  <si>
    <t>1. Prepare the EICAR test string as a .csv file
2. Upload it to 'Invoice CSV Template'</t>
  </si>
  <si>
    <t>eicar_test.csv</t>
  </si>
  <si>
    <t>TC_INV_CSV_TEMPLATE_U04</t>
  </si>
  <si>
    <t>Upload a file in an unsupported format to 'Invoice CSV Template'</t>
  </si>
  <si>
    <t>1. Select a file in a format not in the allowed list (CSV)
2. Attempt to upload to 'Invoice CSV Template'</t>
  </si>
  <si>
    <t>Upload is rejected with a validation error indicating the allowed formats (CSV)</t>
  </si>
  <si>
    <t>TC_INV_CSV_TEMPLATE_U05</t>
  </si>
  <si>
    <t>Upload a file exceeding the maximum size limit for 'Invoice CSV Template'</t>
  </si>
  <si>
    <t>1. Select a file exceeding 1 MB
2. Attempt to upload to 'Invoice CSV Template'</t>
  </si>
  <si>
    <t>oversized_inv_csv_template.csv (exceeds 1 MB)</t>
  </si>
  <si>
    <t>TC_INV_CSV_TEMPLATE_U06</t>
  </si>
  <si>
    <t>Upload a corrupted/malformed file to 'Invoice CSV Template'</t>
  </si>
  <si>
    <t>1. Prepare a deliberately corrupted file with a valid extension
2. Upload it to 'Invoice CSV Template'</t>
  </si>
  <si>
    <t>corrupted_inv_csv_template.csv</t>
  </si>
  <si>
    <t>TC_INVTEMP_INJ01</t>
  </si>
  <si>
    <t>CSV formula/command injection payload in Invoice CSV Template</t>
  </si>
  <si>
    <t>1. Prepare a CSV file with a cell containing a formula-injection payload (e.g., a cell starting with '=', '+', '-', or '@')
2. Upload it as the Invoice CSV Template</t>
  </si>
  <si>
    <t>invoice_template_injection.csv</t>
  </si>
  <si>
    <t>System sanitizes/escapes the payload before storage, or rejects the file with a validation warning about unsafe cell content</t>
  </si>
  <si>
    <t>TC_TNC_01</t>
  </si>
  <si>
    <t>Terms &amp; Conditions</t>
  </si>
  <si>
    <t>Accept Terms &amp; Conditions and proceed</t>
  </si>
  <si>
    <t>1. Navigate to the Terms &amp; Conditions step
2. Read/scroll through the terms
3. Check the acceptance checkbox
4. Click 'Save and Proceed'</t>
  </si>
  <si>
    <t>Terms are accepted; user proceeds to the next step (Compliance)</t>
  </si>
  <si>
    <t>TC_TNC_02</t>
  </si>
  <si>
    <t>Attempt to proceed without accepting Terms &amp; Conditions</t>
  </si>
  <si>
    <t>1. Navigate to the Terms &amp; Conditions step
2. Leave the acceptance checkbox unchecked
3. Click 'Save and Proceed'</t>
  </si>
  <si>
    <t>Validation error/message shown requiring acceptance; user cannot proceed until the checkbox is checked</t>
  </si>
  <si>
    <t>TC_TNC_03</t>
  </si>
  <si>
    <t>Full Terms &amp; Conditions content is accessible and readable</t>
  </si>
  <si>
    <t>1. Click to expand/view the full Terms &amp; Conditions text or linked document</t>
  </si>
  <si>
    <t>Full terms content is displayed/opens correctly without broken links or missing content</t>
  </si>
  <si>
    <t>TC_TNC_04</t>
  </si>
  <si>
    <t>Terms &amp; Conditions acceptance is persisted if the user navigates back and forward</t>
  </si>
  <si>
    <t>1. Accept Terms &amp; Conditions and proceed
2. Click 'Previous' to return to this step
3. Observe checkbox state</t>
  </si>
  <si>
    <t>The acceptance checkbox remains checked/retained; the user is not forced to re-accept unnecessarily</t>
  </si>
  <si>
    <t>TC_COMP_01</t>
  </si>
  <si>
    <t>Compliance</t>
  </si>
  <si>
    <t>Complete all mandatory compliance declarations/fields and proceed</t>
  </si>
  <si>
    <t>1. Navigate to the Compliance step
2. Complete all mandatory compliance questions/declarations or uploads
3. Click 'Save and Proceed'</t>
  </si>
  <si>
    <t>All compliance fields completed</t>
  </si>
  <si>
    <t>Compliance step is marked complete; user proceeds to the Review step</t>
  </si>
  <si>
    <t>Assumed — confirm exact validation rule/format with BA/Dev (not fully visible in recording) — exact compliance fields/questions were not clearly visible in the recording</t>
  </si>
  <si>
    <t>TC_COMP_02</t>
  </si>
  <si>
    <t>Attempt to proceed with mandatory compliance items incomplete</t>
  </si>
  <si>
    <t>1. Leave one or more mandatory compliance items incomplete
2. Click 'Save and Proceed'</t>
  </si>
  <si>
    <t>Incomplete compliance section</t>
  </si>
  <si>
    <t>Validation error shown; user cannot proceed until all mandatory compliance items are completed</t>
  </si>
  <si>
    <t>TC_COMP_03</t>
  </si>
  <si>
    <t>Compliance step icon in the stepper reflects correct completion state</t>
  </si>
  <si>
    <t>1. Complete the Compliance step
2. Observe the stepper icon for 'Compliance'</t>
  </si>
  <si>
    <t>Stepper icon updates to a 'completed' state (e.g., green check) once all mandatory compliance items are filled</t>
  </si>
  <si>
    <t>TC_REVIEW_01</t>
  </si>
  <si>
    <t>Review &amp; Submit</t>
  </si>
  <si>
    <t>Review screen accurately displays all data entered across every step</t>
  </si>
  <si>
    <t>1. Complete all onboarding steps with distinct, identifiable values
2. Navigate to the Review step
3. Compare displayed data against what was entered in each step</t>
  </si>
  <si>
    <t>Distinct test values per step</t>
  </si>
  <si>
    <t>All entered data (Business Info, Commercial License, Articles of Association, Stakeholders, Authorized Signatory, Bank Accounts, Account Admin, Invoice Templates, Terms &amp; Conditions, Compliance) is accurately reflected on the Review screen with no data loss or mismatch</t>
  </si>
  <si>
    <t>TC_REVIEW_02</t>
  </si>
  <si>
    <t>Edit' links/icons on the Review screen navigate back to the correct step</t>
  </si>
  <si>
    <t>1. On the Review screen, click the Edit link/icon for a specific section (e.g., Bank Account Details)
2. Observe which step opens</t>
  </si>
  <si>
    <t>Clicking Edit for a section navigates directly back to that specific step, not a different one, and allows correction</t>
  </si>
  <si>
    <t>TC_REVIEW_03</t>
  </si>
  <si>
    <t>Editing a value from the Review screen and returning updates the Review screen correctly</t>
  </si>
  <si>
    <t>1. From Review, edit a value in any step (e.g., change Bank Branch)
2. Save and return to Review</t>
  </si>
  <si>
    <t>Updated Bank Branch value</t>
  </si>
  <si>
    <t>Review screen reflects the updated value correctly without requiring a full page reload or losing other data</t>
  </si>
  <si>
    <t>TC_REVIEW_04</t>
  </si>
  <si>
    <t>Final Submit is blocked if any mandatory step is incomplete</t>
  </si>
  <si>
    <t>1. Leave one mandatory step incomplete (e.g., skip a mandatory upload)
2. Attempt to reach and click Final Submit on the Review screen</t>
  </si>
  <si>
    <t>One incomplete mandatory step</t>
  </si>
  <si>
    <t>Submission is blocked; user is redirected to or clearly notified of the incomplete step before Submit becomes available</t>
  </si>
  <si>
    <t>TC_REVIEW_05</t>
  </si>
  <si>
    <t>Final Submit succeeds when all steps are complete</t>
  </si>
  <si>
    <t>1. Complete all mandatory steps validly
2. Click Final Submit on the Review screen</t>
  </si>
  <si>
    <t>All steps complete</t>
  </si>
  <si>
    <t>Submission succeeds; a confirmation message/screen is displayed (e.g., 'Your application has been submitted for review'); onboarding status updates accordingly</t>
  </si>
  <si>
    <t>TC_STEP_01</t>
  </si>
  <si>
    <t>Onboarding - Stepper &amp; Progress</t>
  </si>
  <si>
    <t>Profile completion percentage increases correctly as each step is completed</t>
  </si>
  <si>
    <t>1. Note the profile completion percentage at the start (0% or initial value)
2. Complete each step one at a time
3. Observe the percentage after each step</t>
  </si>
  <si>
    <t>Complete steps sequentially</t>
  </si>
  <si>
    <t>Profile completion percentage increases by a consistent, correct increment after each step is completed, reaching 100% only once all mandatory steps are done</t>
  </si>
  <si>
    <t>Assumed — confirm exact validation rule/format with BA/Dev (not fully visible in recording) — confirm exact percentage weighting per step with BA/Dev</t>
  </si>
  <si>
    <t>TC_STEP_02</t>
  </si>
  <si>
    <t>Stepper icons visually reflect current, completed, and pending states</t>
  </si>
  <si>
    <t>1. Progress through several onboarding steps
2. Observe the stepper icons for completed, current, and upcoming steps</t>
  </si>
  <si>
    <t>Completed steps show a distinct completed indicator (e.g., green check), the current step is clearly highlighted, and upcoming steps are visually distinguished as pending</t>
  </si>
  <si>
    <t>TC_STEP_03</t>
  </si>
  <si>
    <t>Save and Proceed' is disabled/blocked until all mandatory fields in the current step are valid</t>
  </si>
  <si>
    <t>1. Leave a mandatory field incomplete or invalid in the current step
2. Attempt to click 'Save and Proceed'</t>
  </si>
  <si>
    <t>One invalid/incomplete mandatory field</t>
  </si>
  <si>
    <t>Save and Proceed is blocked or shows validation errors; user remains on the current step until corrected</t>
  </si>
  <si>
    <t>TC_STEP_04</t>
  </si>
  <si>
    <t>Previous' button retains previously entered data without loss</t>
  </si>
  <si>
    <t>1. Complete Step 2 with valid data and proceed to Step 3
2. Click 'Previous' to return to Step 2
3. Verify data</t>
  </si>
  <si>
    <t>All previously entered data in Step 2 is intact and editable when navigating back</t>
  </si>
  <si>
    <t>TC_STEP_05</t>
  </si>
  <si>
    <t>Directly navigating to a later step via URL manipulation is blocked</t>
  </si>
  <si>
    <t>1. While on an early incomplete step, attempt to directly navigate to a later step's URL/route</t>
  </si>
  <si>
    <t>URL for a later onboarding step</t>
  </si>
  <si>
    <t>Direct navigation is blocked or redirects back to the correct current step; users cannot skip ahead of incomplete mandatory steps</t>
  </si>
  <si>
    <t>TC_STEP_06</t>
  </si>
  <si>
    <t>Stepper allows navigating back to any previously completed step freely</t>
  </si>
  <si>
    <t>1. Complete several steps
2. Click on an earlier completed step directly in the stepper (not using Previous)</t>
  </si>
  <si>
    <t>User can freely navigate to any previously completed step by clicking it in the stepper, without losing data</t>
  </si>
  <si>
    <t>TC_DRAFT_01</t>
  </si>
  <si>
    <t>Onboarding - Save as Draft &amp; Resume</t>
  </si>
  <si>
    <t>Complete 3 steps, log out, and resume at the correct step with data intact on re-login</t>
  </si>
  <si>
    <t>1. Login and complete exactly 3 onboarding steps (e.g., Business Info, Commercial License, Articles of Association) with valid data
2. Log out (or close the session) without completing further steps
3. Log back in with the same account</t>
  </si>
  <si>
    <t>3 steps completed with distinct, identifiable test values</t>
  </si>
  <si>
    <t>User is navigated directly back into the onboarding flow at the 4th step (the next incomplete one); all data entered in the first 3 steps is correctly pre-filled and intact</t>
  </si>
  <si>
    <t>This is the key save-as-draft scenario explicitly requested — treat as highest priority for execution</t>
  </si>
  <si>
    <t>TC_DRAFT_02</t>
  </si>
  <si>
    <t>Partially completed step (not fully saved) behaves consistently on resume</t>
  </si>
  <si>
    <t>1. Start filling a step but do not complete all mandatory fields or click 'Save and Proceed'
2. Log out and log back in</t>
  </si>
  <si>
    <t>Partially filled step (e.g., 2 of 5 fields filled)</t>
  </si>
  <si>
    <t>System either retains the partially entered data for that in-progress step, or clearly restarts that specific step empty — behaviour should be consistent and documented, not silently inconsistent</t>
  </si>
  <si>
    <t>TC_DRAFT_03</t>
  </si>
  <si>
    <t>Draft data for uploaded files is retained correctly across sessions</t>
  </si>
  <si>
    <t>1. Upload a file successfully in one of the first 3 steps
2. Log out and log back in
3. Navigate to that step</t>
  </si>
  <si>
    <t>Previously uploaded Business Logo/Commercial License file</t>
  </si>
  <si>
    <t>The previously uploaded file is still shown as attached (e.g., filename/thumbnail visible); the user is not required to re-upload it</t>
  </si>
  <si>
    <t>TC_DRAFT_04</t>
  </si>
  <si>
    <t>Resuming onboarding does not duplicate stakeholders/bank accounts already added</t>
  </si>
  <si>
    <t>1. Add a stakeholder or bank account and save
2. Log out and log back in
3. Navigate to the Stakeholder/Bank Account step</t>
  </si>
  <si>
    <t>Previously added stakeholder/bank account entries</t>
  </si>
  <si>
    <t>Previously added entries appear exactly once in the table; no duplicates are created on resume</t>
  </si>
  <si>
    <t>TC_DRAFT_05</t>
  </si>
  <si>
    <t>Resuming as a different user does not expose another user's draft data</t>
  </si>
  <si>
    <t>1. Complete partial onboarding as User A
2. Log out
3. Log in as a different, unrelated User B</t>
  </si>
  <si>
    <t>User A's partial onboarding data; User B's login</t>
  </si>
  <si>
    <t>User B sees only their own onboarding state (empty or their own prior progress); User A's data is never shown to User B</t>
  </si>
  <si>
    <t>TC_DRAFT_06</t>
  </si>
  <si>
    <t>Draft resumes to the correct step even after a long period of inactivity</t>
  </si>
  <si>
    <t>1. Complete 3 steps and log out
2. Wait a significant period (e.g., simulate several days later)
3. Log back in</t>
  </si>
  <si>
    <t>3 steps completed; extended time gap before resume</t>
  </si>
  <si>
    <t>Draft data and correct resume step are still intact regardless of the time elapsed, unless a specific draft-expiry policy is defined</t>
  </si>
  <si>
    <t>Assumed — confirm exact validation rule/format with BA/Dev (not fully visible in recording) — confirm whether draft data has any expiry policy</t>
  </si>
  <si>
    <t>TC_DRAFT_07</t>
  </si>
  <si>
    <t>Browser refresh mid-step does not lose already-saved steps</t>
  </si>
  <si>
    <t>1. Complete 2 steps
2. On the 3rd step, refresh the browser before proceeding</t>
  </si>
  <si>
    <t>The first 2 completed steps remain saved and intact after refresh; only unsaved changes on the current step may be lost, which should be made clear to the user</t>
  </si>
  <si>
    <t>TC_DRAFT_08</t>
  </si>
  <si>
    <t>Same navigation/redirect behaviour confirmed regardless of which step the user stopped at</t>
  </si>
  <si>
    <t>1. Repeat the save-as-draft-and-resume scenario stopping at different steps (e.g., after Step 1 only, after Step 5, after Step 8)
2. Log out and log back in each time</t>
  </si>
  <si>
    <t>Various stopping points across the 8+ steps</t>
  </si>
  <si>
    <t>Regardless of which step the user stopped at, resuming always lands them on the correct next incomplete step with prior data intact — behaviour is consistent across all steps, not just the 3-step case explicitly mentioned</t>
  </si>
  <si>
    <t>TC_FF_BIZ_NAME_01</t>
  </si>
  <si>
    <t>Organisation Name: Anjali Forwarders</t>
  </si>
  <si>
    <t>Freight Forwarders field label/rule assumed based on parallel Airlines flow — confirm exact wording/rule with BA/Dev since the two onboarding forms are built separately</t>
  </si>
  <si>
    <t>TC_FF_BIZ_NAME_02</t>
  </si>
  <si>
    <t>TC_FF_BIZ_NAME_03</t>
  </si>
  <si>
    <t>TC_FF_BIZ_NAME_04</t>
  </si>
  <si>
    <t>TC_FF_BIZ_TRADE_01</t>
  </si>
  <si>
    <t>Trade/RE Reference Number: RE8823741029384</t>
  </si>
  <si>
    <t>TC_FF_BIZ_TRADE_02</t>
  </si>
  <si>
    <t>TC_FF_BIZ_TRADE_03</t>
  </si>
  <si>
    <t>TC_FF_BIZ_TRADE_04</t>
  </si>
  <si>
    <t>TC_FF_BIZ_TRN_01</t>
  </si>
  <si>
    <t>Tax Registration Number (TRN): ANJ83920123</t>
  </si>
  <si>
    <t>TC_FF_BIZ_TRN_02</t>
  </si>
  <si>
    <t>TC_FF_BIZ_TRN_03</t>
  </si>
  <si>
    <t>1. Enter a value that does not match the expected format for 'Tax Registration Number (TRN)' (e.g., ANJ839)
2. Attempt to proceed</t>
  </si>
  <si>
    <t>Tax Registration Number (TRN): ANJ839</t>
  </si>
  <si>
    <t>TC_FF_BIZ_TRN_04</t>
  </si>
  <si>
    <t>TC_FF_BIZ_ADDR1_01</t>
  </si>
  <si>
    <t>Address Line 1: Warehouse 12, Al Quoz Industrial Area</t>
  </si>
  <si>
    <t>TC_FF_BIZ_ADDR1_02</t>
  </si>
  <si>
    <t>TC_FF_BIZ_ADDR1_03</t>
  </si>
  <si>
    <t>TC_FF_BIZ_ADDR1_04</t>
  </si>
  <si>
    <t>TC_FF_BIZ_ADDR2_01</t>
  </si>
  <si>
    <t>Address Line 2: Near Logistics Hub</t>
  </si>
  <si>
    <t>TC_FF_BIZ_ADDR2_03</t>
  </si>
  <si>
    <t>TC_FF_BIZ_ADDR2_04</t>
  </si>
  <si>
    <t>TC_FF_BIZ_CITY_01</t>
  </si>
  <si>
    <t>TC_FF_BIZ_CITY_02</t>
  </si>
  <si>
    <t>TC_FF_BIZ_CITY_03</t>
  </si>
  <si>
    <t>TC_FF_BIZ_CITY_04</t>
  </si>
  <si>
    <t>TC_FF_BIZ_ZIP_01</t>
  </si>
  <si>
    <t>ZIP Code / Area Code: 512394</t>
  </si>
  <si>
    <t>TC_FF_BIZ_ZIP_02</t>
  </si>
  <si>
    <t>TC_FF_BIZ_ZIP_03</t>
  </si>
  <si>
    <t>TC_FF_BIZ_ZIP_04</t>
  </si>
  <si>
    <t>TC_FF_BIZ_COUNTRY_01</t>
  </si>
  <si>
    <t>TC_FF_BIZ_COUNTRY_02</t>
  </si>
  <si>
    <t>TC_FF_BIZ_COUNTRY_03</t>
  </si>
  <si>
    <t>TC_FF_BIZ_MOBILE_01</t>
  </si>
  <si>
    <t>Mobile Number: +971 551234567</t>
  </si>
  <si>
    <t>TC_FF_BIZ_MOBILE_02</t>
  </si>
  <si>
    <t>TC_FF_BIZ_MOBILE_03</t>
  </si>
  <si>
    <t>TC_FF_BIZ_VAT_01</t>
  </si>
  <si>
    <t>VAT Registration Number: ANJ9838948932</t>
  </si>
  <si>
    <t>TC_FF_BIZ_VAT_02</t>
  </si>
  <si>
    <t>TC_FF_BIZ_VAT_03</t>
  </si>
  <si>
    <t>TC_FF_BIZ_VAT_04</t>
  </si>
  <si>
    <t>TC_FF_BIZ_WEB_01</t>
  </si>
  <si>
    <t>Website Address: www.anjaliforwarders.com</t>
  </si>
  <si>
    <t>TC_FF_BIZ_WEB_02</t>
  </si>
  <si>
    <t>TC_FF_BIZ_WEB_03</t>
  </si>
  <si>
    <t>1. Enter a malformed URL (e.g., 'wwfreightco', 'htp://site')
2. Attempt to proceed</t>
  </si>
  <si>
    <t>Website Address: wwfreightco</t>
  </si>
  <si>
    <t>TC_FF_BIZ_ESTAB_01</t>
  </si>
  <si>
    <t>TC_FF_BIZ_ESTAB_02</t>
  </si>
  <si>
    <t>TC_FF_BIZ_ESTAB_03</t>
  </si>
  <si>
    <t>TC_FF_BIZ_YEARS_01</t>
  </si>
  <si>
    <t>Years in Business: 6</t>
  </si>
  <si>
    <t>TC_FF_BIZ_YEARS_02</t>
  </si>
  <si>
    <t>TC_FF_BIZ_YEARS_03</t>
  </si>
  <si>
    <t>TC_FF_BIZ_YEARS_04</t>
  </si>
  <si>
    <t>TC_FF_BIZ_NATURE_01</t>
  </si>
  <si>
    <t>Nature of Business: Freight Forwarding / Logistics Services</t>
  </si>
  <si>
    <t>TC_FF_BIZ_NATURE_02</t>
  </si>
  <si>
    <t>TC_FF_BIZ_NATURE_03</t>
  </si>
  <si>
    <t>TC_FF_BIZ_NATURE_04</t>
  </si>
  <si>
    <t>TC_FF_BIZ_ANNUAL_01</t>
  </si>
  <si>
    <t>TC_FF_BIZ_ANNUAL_02</t>
  </si>
  <si>
    <t>TC_FF_BIZ_ANNUAL_03</t>
  </si>
  <si>
    <t>TC_FF_BIZ_ANNUAL_04</t>
  </si>
  <si>
    <t>TC_FF_BIZ_ANNUAL_05</t>
  </si>
  <si>
    <t>TC_FF_BIZ_MONTHVOL_01</t>
  </si>
  <si>
    <t>TC_FF_BIZ_MONTHVOL_02</t>
  </si>
  <si>
    <t>TC_FF_BIZ_MONTHVOL_03</t>
  </si>
  <si>
    <t>TC_FF_BIZ_MONTHVOL_04</t>
  </si>
  <si>
    <t>TC_FF_BIZ_MONTHVOL_05</t>
  </si>
  <si>
    <t>TC_FF_BIZ_AVGVAL_01</t>
  </si>
  <si>
    <t>TC_FF_BIZ_AVGVAL_02</t>
  </si>
  <si>
    <t>TC_FF_BIZ_AVGVAL_03</t>
  </si>
  <si>
    <t>TC_FF_BIZ_AVGVAL_04</t>
  </si>
  <si>
    <t>TC_FF_BIZ_AVGVAL_05</t>
  </si>
  <si>
    <t>TC_FF_BIZ_MAXDAILY_01</t>
  </si>
  <si>
    <t>TC_FF_BIZ_MAXDAILY_02</t>
  </si>
  <si>
    <t>TC_FF_BIZ_MAXDAILY_03</t>
  </si>
  <si>
    <t>TC_FF_BIZ_MAXDAILY_04</t>
  </si>
  <si>
    <t>TC_FF_BIZ_MAXDAILY_05</t>
  </si>
  <si>
    <t>TC_FF_BIZ_HIGHTXN_01</t>
  </si>
  <si>
    <t>TC_FF_BIZ_HIGHTXN_02</t>
  </si>
  <si>
    <t>TC_FF_BIZ_HIGHTXN_03</t>
  </si>
  <si>
    <t>TC_FF_BIZ_HIGHTXN_04</t>
  </si>
  <si>
    <t>TC_FF_BIZ_HIGHTXN_05</t>
  </si>
  <si>
    <t>TC_FF_BIZ_LICNUM_01</t>
  </si>
  <si>
    <t>Enter valid Freight Forwarder / IATA-FIATA License Number (if present)</t>
  </si>
  <si>
    <t>1. Navigate to Business Info step
2. Check for a Freight Forwarder-specific license/registration number field distinct from Airlines (e.g., IATA/FIATA number)
3. Enter a valid value if present</t>
  </si>
  <si>
    <t>IATA/FIATA Number: 12345678 (if applicable)</t>
  </si>
  <si>
    <t>If such a field exists, it accepts a valid value and validates per its expected format</t>
  </si>
  <si>
    <t>Not confirmed from the recording whether this field exists — confirm with BA/Dev whether Freight Forwarders onboarding has an industry-specific license/registration field that Airlines onboarding does not</t>
  </si>
  <si>
    <t>TC_FF_BIZ_LOGO_U01</t>
  </si>
  <si>
    <t>clean_ff_biz_logo.jpg (within 1 MB)</t>
  </si>
  <si>
    <t>TC_FF_BIZ_LOGO_U02</t>
  </si>
  <si>
    <t>TC_FF_BIZ_LOGO_U03</t>
  </si>
  <si>
    <t>TC_FF_BIZ_LOGO_U04</t>
  </si>
  <si>
    <t>TC_FF_BIZ_LOGO_U05</t>
  </si>
  <si>
    <t>oversized_ff_biz_logo.jpg (exceeds 1 MB)</t>
  </si>
  <si>
    <t>TC_FF_BIZ_LOGO_U06</t>
  </si>
  <si>
    <t>corrupted_ff_biz_logo.jpg</t>
  </si>
  <si>
    <t>TC_FF_CLIC_U01</t>
  </si>
  <si>
    <t>clean_ff_clic.pdf (within 1 MB)</t>
  </si>
  <si>
    <t>TC_FF_CLIC_U02</t>
  </si>
  <si>
    <t>TC_FF_CLIC_U03</t>
  </si>
  <si>
    <t>TC_FF_CLIC_U04</t>
  </si>
  <si>
    <t>TC_FF_CLIC_U05</t>
  </si>
  <si>
    <t>oversized_ff_clic.pdf (exceeds 1 MB)</t>
  </si>
  <si>
    <t>TC_FF_CLIC_U06</t>
  </si>
  <si>
    <t>corrupted_ff_clic.pdf</t>
  </si>
  <si>
    <t>TC_FF_CLIC_EXP01</t>
  </si>
  <si>
    <t>TC_FF_CLIC_EXP02</t>
  </si>
  <si>
    <t>System displays a warning that the document must be renewed before proceeding since its expiry date is less than 21 days away; user cannot proceed until a renewed document is uploaded</t>
  </si>
  <si>
    <t>Confirm this 21-day rule (seen on Airlines onboarding) also applies identically to Freight Forwarders onboarding</t>
  </si>
  <si>
    <t>TC_FF_CLIC_EXP03</t>
  </si>
  <si>
    <t>TC_FF_AOA_U01</t>
  </si>
  <si>
    <t>clean_ff_aoa.pdf (within 1 MB)</t>
  </si>
  <si>
    <t>Confirm whether this sub-step exists for Freight Forwarders onboarding at all — it was not clearly distinguishable in the recording and may not apply to this entity type the same way it does for Airlines</t>
  </si>
  <si>
    <t>TC_FF_AOA_U02</t>
  </si>
  <si>
    <t>TC_FF_AOA_U03</t>
  </si>
  <si>
    <t>TC_FF_AOA_U04</t>
  </si>
  <si>
    <t>TC_FF_AOA_U05</t>
  </si>
  <si>
    <t>oversized_ff_aoa.pdf (exceeds 1 MB)</t>
  </si>
  <si>
    <t>TC_FF_AOA_U06</t>
  </si>
  <si>
    <t>corrupted_ff_aoa.pdf</t>
  </si>
  <si>
    <t>TC_FF_SH_NAME_01</t>
  </si>
  <si>
    <t>Stakeholder Name: Anjali Mehta</t>
  </si>
  <si>
    <t>TC_FF_SH_NAME_02</t>
  </si>
  <si>
    <t>TC_FF_SH_NAME_03</t>
  </si>
  <si>
    <t>TC_FF_SH_NAME_04</t>
  </si>
  <si>
    <t>TC_FF_SH_DOB_01</t>
  </si>
  <si>
    <t>Date of Birth: 20-Jun-1988</t>
  </si>
  <si>
    <t>TC_FF_SH_DOB_02</t>
  </si>
  <si>
    <t>TC_FF_SH_DOB_03</t>
  </si>
  <si>
    <t>TC_FF_SH_DOB_04</t>
  </si>
  <si>
    <t>TC_FF_SH_NAT_01</t>
  </si>
  <si>
    <t>Nationality: India</t>
  </si>
  <si>
    <t>TC_FF_SH_NAT_02</t>
  </si>
  <si>
    <t>TC_FF_SH_NAT_03</t>
  </si>
  <si>
    <t>TC_FF_SH_RES_01</t>
  </si>
  <si>
    <t>TC_FF_SH_RES_02</t>
  </si>
  <si>
    <t>TC_FF_SH_RES_03</t>
  </si>
  <si>
    <t>TC_FF_SH_SHARE_01</t>
  </si>
  <si>
    <t>Share Percentage: 55</t>
  </si>
  <si>
    <t>TC_FF_SH_SHARE_02</t>
  </si>
  <si>
    <t>TC_FF_SH_SHARE_03</t>
  </si>
  <si>
    <t>TC_FF_SH_SHARE_04</t>
  </si>
  <si>
    <t>TC_FF_SH_IDTYPE_01</t>
  </si>
  <si>
    <t>TC_FF_SH_IDTYPE_02</t>
  </si>
  <si>
    <t>TC_FF_SH_IDTYPE_03</t>
  </si>
  <si>
    <t>TC_FF_SH_IDNUM_01</t>
  </si>
  <si>
    <t>ID Number: B7654321</t>
  </si>
  <si>
    <t>TC_FF_SH_IDNUM_02</t>
  </si>
  <si>
    <t>TC_FF_SH_IDNUM_03</t>
  </si>
  <si>
    <t>TC_FF_SH_IDNUM_04</t>
  </si>
  <si>
    <t>TC_FF_SH_IDCOPY_U01</t>
  </si>
  <si>
    <t>clean_ff_sh_idcopy.pdf (within 1 MB)</t>
  </si>
  <si>
    <t>TC_FF_SH_IDCOPY_U02</t>
  </si>
  <si>
    <t>TC_FF_SH_IDCOPY_U03</t>
  </si>
  <si>
    <t>TC_FF_SH_IDCOPY_U04</t>
  </si>
  <si>
    <t>TC_FF_SH_IDCOPY_U05</t>
  </si>
  <si>
    <t>oversized_ff_sh_idcopy.pdf (exceeds 1 MB)</t>
  </si>
  <si>
    <t>TC_FF_SH_IDCOPY_U06</t>
  </si>
  <si>
    <t>corrupted_ff_sh_idcopy.pdf</t>
  </si>
  <si>
    <t>TC_FF_SH_ADD01</t>
  </si>
  <si>
    <t>Stakeholder A: 55% share; Stakeholder B: 45% share</t>
  </si>
  <si>
    <t>Both stakeholders are added and listed correctly in the table with all entered details</t>
  </si>
  <si>
    <t>TC_FF_SH_ADD02</t>
  </si>
  <si>
    <t>TC_FF_SH_SHARE_SUM01</t>
  </si>
  <si>
    <t>TC_FF_SH_SHARE_SUM02</t>
  </si>
  <si>
    <t>Stakeholder A: 55%; Stakeholder B: 45% (total 100%)</t>
  </si>
  <si>
    <t>TC_FF_SH_MIN01</t>
  </si>
  <si>
    <t>TC_FF_AS_NAME_01</t>
  </si>
  <si>
    <t>Authorized Signatory Name: Anjali Mehta</t>
  </si>
  <si>
    <t>TC_FF_AS_NAME_02</t>
  </si>
  <si>
    <t>TC_FF_AS_NAME_03</t>
  </si>
  <si>
    <t>TC_FF_AS_NAME_04</t>
  </si>
  <si>
    <t>TC_FF_AS_DESIG_01</t>
  </si>
  <si>
    <t>Designation: Managing Director</t>
  </si>
  <si>
    <t>TC_FF_AS_DESIG_02</t>
  </si>
  <si>
    <t>TC_FF_AS_DESIG_03</t>
  </si>
  <si>
    <t>TC_FF_AS_DESIG_04</t>
  </si>
  <si>
    <t>TC_FF_AS_EMAIL_01</t>
  </si>
  <si>
    <t>Email: anjali.mehta@anjaliforwarders.com</t>
  </si>
  <si>
    <t>TC_FF_AS_EMAIL_02</t>
  </si>
  <si>
    <t>TC_FF_AS_EMAIL_03</t>
  </si>
  <si>
    <t>TC_FF_AS_DOB_01</t>
  </si>
  <si>
    <t>Date of Birth: 05-Feb-1982</t>
  </si>
  <si>
    <t>TC_FF_AS_DOB_02</t>
  </si>
  <si>
    <t>TC_FF_AS_DOB_03</t>
  </si>
  <si>
    <t>TC_FF_AS_DOB_04</t>
  </si>
  <si>
    <t>TC_FF_AS_NAT_01</t>
  </si>
  <si>
    <t>TC_FF_AS_NAT_02</t>
  </si>
  <si>
    <t>TC_FF_AS_NAT_03</t>
  </si>
  <si>
    <t>TC_FF_AS_RES_01</t>
  </si>
  <si>
    <t>TC_FF_AS_RES_02</t>
  </si>
  <si>
    <t>TC_FF_AS_RES_03</t>
  </si>
  <si>
    <t>TC_FF_AS_IDTYPE_01</t>
  </si>
  <si>
    <t>TC_FF_AS_IDTYPE_02</t>
  </si>
  <si>
    <t>TC_FF_AS_IDTYPE_03</t>
  </si>
  <si>
    <t>TC_FF_AS_IDNUM_01</t>
  </si>
  <si>
    <t>ID Number: 784-1982-1234567-1</t>
  </si>
  <si>
    <t>TC_FF_AS_IDNUM_02</t>
  </si>
  <si>
    <t>TC_FF_AS_IDNUM_03</t>
  </si>
  <si>
    <t>TC_FF_AS_IDNUM_04</t>
  </si>
  <si>
    <t>TC_FF_AS_UPLOAD_CHK01</t>
  </si>
  <si>
    <t>Confirm whether an ID Copy upload field exists for this step; if so, apply the standard upload + ClamAV test set to it</t>
  </si>
  <si>
    <t>TC_FF_ADMIN_NAME_01</t>
  </si>
  <si>
    <t>Admin Name: Existing admin or a newly typed name</t>
  </si>
  <si>
    <t>TC_FF_ADMIN_NAME_02</t>
  </si>
  <si>
    <t>TC_FF_ADMIN_NAME_03</t>
  </si>
  <si>
    <t>TC_FF_ADMIN_MOBILE_01</t>
  </si>
  <si>
    <t>Admin Mobile Number: +971 507654321</t>
  </si>
  <si>
    <t>TC_FF_ADMIN_MOBILE_02</t>
  </si>
  <si>
    <t>TC_FF_ADMIN_MOBILE_03</t>
  </si>
  <si>
    <t>TC_FF_ADMIN_EMAIL01</t>
  </si>
  <si>
    <t>Email: anjaliforwarders@... (pre-filled)</t>
  </si>
  <si>
    <t>TC_FF_ADMIN_EIDNUM_01</t>
  </si>
  <si>
    <t>Emirates ID Number: 784-1991-1234567-1</t>
  </si>
  <si>
    <t>TC_FF_ADMIN_EIDNUM_02</t>
  </si>
  <si>
    <t>TC_FF_ADMIN_EIDNUM_03</t>
  </si>
  <si>
    <t>TC_FF_ADMIN_EIDNUM_04</t>
  </si>
  <si>
    <t>TC_FF_ADMIN_EIDCOPY_U01</t>
  </si>
  <si>
    <t>clean_ff_admin_eidcopy.pdf (within 1 MB)</t>
  </si>
  <si>
    <t>TC_FF_ADMIN_EIDCOPY_U02</t>
  </si>
  <si>
    <t>TC_FF_ADMIN_EIDCOPY_U03</t>
  </si>
  <si>
    <t>TC_FF_ADMIN_EIDCOPY_U04</t>
  </si>
  <si>
    <t>TC_FF_ADMIN_EIDCOPY_U05</t>
  </si>
  <si>
    <t>oversized_ff_admin_eidcopy.pdf (exceeds 1 MB)</t>
  </si>
  <si>
    <t>TC_FF_ADMIN_EIDCOPY_U06</t>
  </si>
  <si>
    <t>corrupted_ff_admin_eidcopy.pdf</t>
  </si>
  <si>
    <t>TC_FF_ADMIN_SELECT01</t>
  </si>
  <si>
    <t>1. Click the Admin Name dropdown
2. Select an existing admin
3. Observe other fields</t>
  </si>
  <si>
    <t>Existing admin from dropdown</t>
  </si>
  <si>
    <t>TC_FF_INV_PDF_TEMPLATE_U01</t>
  </si>
  <si>
    <t>clean_ff_inv_pdf_template.pdf (within 1 MB)</t>
  </si>
  <si>
    <t>TC_FF_INV_PDF_TEMPLATE_U03</t>
  </si>
  <si>
    <t>TC_FF_INV_PDF_TEMPLATE_U04</t>
  </si>
  <si>
    <t>TC_FF_INV_PDF_TEMPLATE_U05</t>
  </si>
  <si>
    <t>oversized_ff_inv_pdf_template.pdf (exceeds 1 MB)</t>
  </si>
  <si>
    <t>TC_FF_INV_PDF_TEMPLATE_U06</t>
  </si>
  <si>
    <t>corrupted_ff_inv_pdf_template.pdf</t>
  </si>
  <si>
    <t>TC_FF_INV_CSV_TEMPLATE_U01</t>
  </si>
  <si>
    <t>clean_ff_inv_csv_template.csv (within 1 MB)</t>
  </si>
  <si>
    <t>TC_FF_INV_CSV_TEMPLATE_U03</t>
  </si>
  <si>
    <t>TC_FF_INV_CSV_TEMPLATE_U04</t>
  </si>
  <si>
    <t>TC_FF_INV_CSV_TEMPLATE_U05</t>
  </si>
  <si>
    <t>oversized_ff_inv_csv_template.csv (exceeds 1 MB)</t>
  </si>
  <si>
    <t>TC_FF_INV_CSV_TEMPLATE_U06</t>
  </si>
  <si>
    <t>corrupted_ff_inv_csv_template.csv</t>
  </si>
  <si>
    <t>TC_FF_INVTEMP_INJ01</t>
  </si>
  <si>
    <t>TC_FF_TNC_01</t>
  </si>
  <si>
    <t>TC_FF_TNC_02</t>
  </si>
  <si>
    <t>TC_FF_TNC_03</t>
  </si>
  <si>
    <t>TC_FF_TNC_04</t>
  </si>
  <si>
    <t>TC_FF_TNC_05</t>
  </si>
  <si>
    <t>Freight Forwarders-specific Terms &amp; Conditions content differs correctly from Airlines' terms (if applicable)</t>
  </si>
  <si>
    <t>1. Compare the Terms &amp; Conditions text shown on the Freight Forwarders onboarding flow against the Airlines flow</t>
  </si>
  <si>
    <t>If entity-specific terms exist, the correct Freight Forwarders-specific version is displayed; if terms are shared/generic across entity types, content is identical and consistent</t>
  </si>
  <si>
    <t>TC_FF_COMP_01</t>
  </si>
  <si>
    <t>TC_FF_COMP_02</t>
  </si>
  <si>
    <t>TC_FF_COMP_03</t>
  </si>
  <si>
    <t>TC_FF_COMP_04</t>
  </si>
  <si>
    <t>Freight Forwarders compliance requirements differ correctly from Airlines' compliance requirements (if applicable)</t>
  </si>
  <si>
    <t>1. Compare the Compliance step content/questions on the Freight Forwarders flow against the Airlines flow</t>
  </si>
  <si>
    <t>If entity-specific compliance rules exist (e.g., customs/freight-specific declarations), the correct version is shown for Freight Forwarders</t>
  </si>
  <si>
    <t>TC_FF_REVIEW_01</t>
  </si>
  <si>
    <t>All entered data (Business Info, Commercial License, Articles of Association if applicable, Stakeholders, Authorized Signatory, Account Admin, Invoice Templates, Terms &amp; Conditions, Compliance) is accurately reflected on the Review screen with no data loss or mismatch</t>
  </si>
  <si>
    <t>TC_FF_REVIEW_02</t>
  </si>
  <si>
    <t>1. On the Review screen, click the Edit link/icon for a specific section (e.g., Stakeholder Details)
2. Observe which step opens</t>
  </si>
  <si>
    <t>TC_FF_REVIEW_03</t>
  </si>
  <si>
    <t>1. From Review, edit a value in any step (e.g., change Nature of Business)
2. Save and return to Review</t>
  </si>
  <si>
    <t>Updated Nature of Business value</t>
  </si>
  <si>
    <t>TC_FF_REVIEW_04</t>
  </si>
  <si>
    <t>TC_FF_REVIEW_05</t>
  </si>
  <si>
    <t>TC_FF_REVIEW_06</t>
  </si>
  <si>
    <t>Review screen correctly omits the Bank Account Details section (not part of this flow)</t>
  </si>
  <si>
    <t>1. Navigate to the Review screen after completing the Freight Forwarders onboarding
2. Verify the sections displayed</t>
  </si>
  <si>
    <t>Review screen shows only the sections applicable to Freight Forwarders (no Bank Account Details section, unlike the Airlines flow), consistent with the stepper shown during onboarding</t>
  </si>
  <si>
    <t>TC_FF_STEP_01</t>
  </si>
  <si>
    <t>Assumed — confirm exact validation rule/format with BA/Dev (not fully visible in recording) — confirm exact percentage weighting per step for this flow (fewer steps than Airlines since there is no Bank Account Details step)</t>
  </si>
  <si>
    <t>TC_FF_STEP_02</t>
  </si>
  <si>
    <t>TC_FF_STEP_03</t>
  </si>
  <si>
    <t>TC_FF_STEP_04</t>
  </si>
  <si>
    <t>1. Complete a step with valid data and proceed to the next
2. Click 'Previous' to return
3. Verify data</t>
  </si>
  <si>
    <t>All previously entered data is intact and editable when navigating back</t>
  </si>
  <si>
    <t>TC_FF_STEP_05</t>
  </si>
  <si>
    <t>TC_FF_STEP_06</t>
  </si>
  <si>
    <t>TC_FF_STEP_07</t>
  </si>
  <si>
    <t>Stepper for Freight Forwarders correctly excludes the Bank Account Details step</t>
  </si>
  <si>
    <t>1. Login as a Freight Forwarder user and view the onboarding stepper
2. Compare the list of steps shown against the Airlines onboarding stepper</t>
  </si>
  <si>
    <t>Freight Forwarders stepper vs Airlines stepper</t>
  </si>
  <si>
    <t>Freight Forwarders stepper shows: Business Details, Stakeholder Details, Authorized Signatory Details, Account Admin, Invoice Templates, Terms &amp; Conditions, Compliance, Review &amp; Submit — with NO Bank Account Details step, matching what was demonstrated in the recording</t>
  </si>
  <si>
    <t>TC_FF_DRAFT_01</t>
  </si>
  <si>
    <t>1. Login and complete exactly 3 onboarding steps (e.g., Business Info, Commercial License, Articles of Association/Stakeholder Details) with valid data
2. Log out (or close the session) without completing further steps
3. Log back in with the same account</t>
  </si>
  <si>
    <t>TC_FF_DRAFT_02</t>
  </si>
  <si>
    <t>TC_FF_DRAFT_03</t>
  </si>
  <si>
    <t>TC_FF_DRAFT_04</t>
  </si>
  <si>
    <t>Resuming onboarding does not duplicate stakeholders already added</t>
  </si>
  <si>
    <t>1. Add a stakeholder and save
2. Log out and log back in
3. Navigate to the Stakeholder Details step</t>
  </si>
  <si>
    <t>Previously added stakeholder entries</t>
  </si>
  <si>
    <t>TC_FF_DRAFT_05</t>
  </si>
  <si>
    <t>TC_FF_DRAFT_06</t>
  </si>
  <si>
    <t>TC_FF_DRAFT_07</t>
  </si>
  <si>
    <t>TC_FF_DRAFT_08</t>
  </si>
  <si>
    <t>1. Repeat the save-as-draft-and-resume scenario stopping at different steps (e.g., after Step 1 only, after Step 5, after the last step)
2. Log out and log back in each time</t>
  </si>
  <si>
    <t>Various stopping points across all steps</t>
  </si>
  <si>
    <t>TC_TODAY_01</t>
  </si>
  <si>
    <t>Today Activity</t>
  </si>
  <si>
    <t>Today Activity section displays all 5 metrics correctly for the current day</t>
  </si>
  <si>
    <t>1. Login and navigate to the Airlines Dashboard
2. Observe the Today Activity section</t>
  </si>
  <si>
    <t>Current date's transaction data</t>
  </si>
  <si>
    <t>Section displays Settled Amount, Invoice Withdrawn, Credit Note, Invoice Raised, and Invoice Rejected, each showing the correct total for today only</t>
  </si>
  <si>
    <t>Source: Screen Recording (confirmed).</t>
  </si>
  <si>
    <t>TC_TODAY_02</t>
  </si>
  <si>
    <t>Settled Amount reflects only invoices settled today</t>
  </si>
  <si>
    <t>1. Settle an invoice today
2. Refresh the dashboard
3. Check the Settled Amount value</t>
  </si>
  <si>
    <t>One invoice settled today: AED 5,000</t>
  </si>
  <si>
    <t>Settled Amount increases by exactly AED 5,000, reflecting only today's settlement, not prior days</t>
  </si>
  <si>
    <t>Source: Functional description document (not shown in recording).</t>
  </si>
  <si>
    <t>TC_TODAY_03</t>
  </si>
  <si>
    <t>Today Activity is unaffected by the global dashboard date filter</t>
  </si>
  <si>
    <t>1. Change the global dashboard filter (e.g., to 'Last 30 Days')
2. Observe the Today Activity section</t>
  </si>
  <si>
    <t>Filter changed to Last 30 Days</t>
  </si>
  <si>
    <t>Today Activity values remain unchanged, always reflecting only the current day regardless of the global filter selection</t>
  </si>
  <si>
    <t>Source: Functional description document (not shown in recording). Confirm this is the intended design per the spec note ('except Today Activity and Pending Till Date, if designed otherwise')</t>
  </si>
  <si>
    <t>TC_TODAY_04</t>
  </si>
  <si>
    <t>Today Activity resets correctly at the start of a new day</t>
  </si>
  <si>
    <t>1. Note Today Activity values near end of day
2. Check the dashboard after midnight (next day)</t>
  </si>
  <si>
    <t>All 5 metrics reset to reflect only the new day's activity; prior day's totals are no longer included</t>
  </si>
  <si>
    <t>TC_TODAY_05</t>
  </si>
  <si>
    <t>Today Activity displays zero/No Data state correctly when no activity occurred today</t>
  </si>
  <si>
    <t>1. View the dashboard on a day with no transactions</t>
  </si>
  <si>
    <t>No activity today</t>
  </si>
  <si>
    <t>Each metric displays 0 or an appropriate 'No Data Available' indicator rather than blank space or an error</t>
  </si>
  <si>
    <t>TC_TODAY_06</t>
  </si>
  <si>
    <t>Monetary values in Today Activity are formatted consistently</t>
  </si>
  <si>
    <t>1. Observe the number formatting of each metric (currency symbol, thousand separators, decimal places)</t>
  </si>
  <si>
    <t>All monetary values follow a consistent format (e.g., AED 12,345.00) across all 5 metrics</t>
  </si>
  <si>
    <t>TC_TODAY_07</t>
  </si>
  <si>
    <t>Invoice Rejected amount only counts invoices rejected today, not previously rejected ones</t>
  </si>
  <si>
    <t>1. Reject an invoice on a prior day
2. Reject a different invoice today
3. Check Invoice Rejected value</t>
  </si>
  <si>
    <t>Invoice A rejected yesterday; Invoice B rejected today</t>
  </si>
  <si>
    <t>Invoice Rejected shows only Invoice B's amount; Invoice A (rejected on a prior day) is excluded</t>
  </si>
  <si>
    <t>TC_PEND_01</t>
  </si>
  <si>
    <t>Pending Amount Till Date</t>
  </si>
  <si>
    <t>Pending Amount Till Date displays all 5 metrics correctly</t>
  </si>
  <si>
    <t>1. Navigate to the dashboard
2. Observe the Pending Amount Till Date section</t>
  </si>
  <si>
    <t>Section displays Total, Overdue Amount, Within Due Amount, Within Threshold Amount, and After Threshold Amount, each showing the correct cumulative value up to today</t>
  </si>
  <si>
    <t>TC_PEND_02</t>
  </si>
  <si>
    <t>Total equals the sum of Overdue, Within Due, Within Threshold, and After Threshold amounts</t>
  </si>
  <si>
    <t>1. Note the individual component values
2. Sum Overdue + Within Due + Within Threshold + After Threshold
3. Compare to Total</t>
  </si>
  <si>
    <t>Component values from the dashboard</t>
  </si>
  <si>
    <t>Total exactly equals the sum of its components, with no discrepancy</t>
  </si>
  <si>
    <t>Source: Functional description document (not shown in recording). Confirm exact composition rule with BA — Within Due/Within Threshold/After Threshold may overlap depending on definition; verify no double-counting</t>
  </si>
  <si>
    <t>TC_PEND_03</t>
  </si>
  <si>
    <t>Overdue Amount only includes invoices past their due date</t>
  </si>
  <si>
    <t>1. Identify an invoice with a due date in the past and still unpaid
2. Check if it is included in Overdue Amount</t>
  </si>
  <si>
    <t>Invoice due date: 5 days ago, unpaid</t>
  </si>
  <si>
    <t>The invoice is correctly included in Overdue Amount</t>
  </si>
  <si>
    <t>TC_PEND_04</t>
  </si>
  <si>
    <t>Within Threshold Amount reflects invoices still inside the configured threshold window</t>
  </si>
  <si>
    <t>1. Identify an invoice within its configured threshold window (per the payment threshold feature)
2. Check inclusion in Within Threshold Amount</t>
  </si>
  <si>
    <t>Invoice within threshold window</t>
  </si>
  <si>
    <t>The invoice amount is correctly reflected in Within Threshold Amount</t>
  </si>
  <si>
    <t>TC_PEND_05</t>
  </si>
  <si>
    <t>After Threshold Amount reflects invoices that have exceeded the threshold window</t>
  </si>
  <si>
    <t>1. Identify an invoice that has exceeded its threshold window
2. Check inclusion in After Threshold Amount</t>
  </si>
  <si>
    <t>Invoice past its threshold window</t>
  </si>
  <si>
    <t>The invoice amount is correctly reflected in After Threshold Amount, not in Within Threshold Amount</t>
  </si>
  <si>
    <t>TC_PEND_06</t>
  </si>
  <si>
    <t>Pending Amount Till Date is unaffected by the global dashboard date filter</t>
  </si>
  <si>
    <t>1. Change the global dashboard filter
2. Observe the Pending Amount Till Date section</t>
  </si>
  <si>
    <t>Filter changed to Last 90 Days</t>
  </si>
  <si>
    <t>Pending Amount Till Date values remain unchanged, always reflecting the overall outstanding position regardless of the selected filter</t>
  </si>
  <si>
    <t>Source: Functional description document (not shown in recording). Confirm this is the intended design</t>
  </si>
  <si>
    <t>TC_PEND_07</t>
  </si>
  <si>
    <t>Section displays 'No Data Available' or zero state when there is no pending amount</t>
  </si>
  <si>
    <t>1. View the dashboard for an account with zero outstanding receivables</t>
  </si>
  <si>
    <t>No pending invoices</t>
  </si>
  <si>
    <t>All 5 metrics display 0 or an appropriate 'No Data Available' indicator instead of blank/error</t>
  </si>
  <si>
    <t>TC_FILTER_01</t>
  </si>
  <si>
    <t>Dashboard Filter (Global)</t>
  </si>
  <si>
    <t>All 7 filter options are available and correctly labeled</t>
  </si>
  <si>
    <t>1. Click the global dashboard filter dropdown
2. Review all available options</t>
  </si>
  <si>
    <t>Dropdown shows exactly: Last 7 Days, Last 14 Days, Last 30 Days, Last 60 Days, Last 90 Days, Last 6 Months, Last 1 Year — correctly labeled</t>
  </si>
  <si>
    <t>TC_FILTER_02</t>
  </si>
  <si>
    <t>Selecting a filter updates all dependent dashboard widgets</t>
  </si>
  <si>
    <t>1. Select 'Last 30 Days'
2. Observe Dashboard Overview, Invoice Amount Distribution, Invoice Count Distribution, Top 3 Buyers, and all other filter-dependent sections</t>
  </si>
  <si>
    <t>Filter: Last 30 Days</t>
  </si>
  <si>
    <t>All dependent sections refresh and display data corresponding to the last 30 days; no section shows stale data from a previous filter</t>
  </si>
  <si>
    <t>TC_FILTER_03</t>
  </si>
  <si>
    <t>Only one filter option can be selected at a time</t>
  </si>
  <si>
    <t>1. Attempt to select multiple filter options simultaneously (if UI allows any multi-click)</t>
  </si>
  <si>
    <t>Filter behaves as a single-select control; selecting a new option deselects the previous one</t>
  </si>
  <si>
    <t>TC_FILTER_04</t>
  </si>
  <si>
    <t>Switching filters does not require a full page reload</t>
  </si>
  <si>
    <t>1. Select different filter options in succession
2. Observe whether the page reloads</t>
  </si>
  <si>
    <t>Dashboard widgets refresh dynamically (e.g., via AJAX) without a full page reload</t>
  </si>
  <si>
    <t>TC_FILTER_05</t>
  </si>
  <si>
    <t>Filter selection persists correctly during the session (or resets per defined behaviour)</t>
  </si>
  <si>
    <t>1. Select a non-default filter (e.g., Last 6 Months)
2. Navigate away from the dashboard and back</t>
  </si>
  <si>
    <t>Filter: Last 6 Months</t>
  </si>
  <si>
    <t>Filter either persists as selected or resets to a defined default — behaviour should be consistent and documented</t>
  </si>
  <si>
    <t>Source: Functional description document (not shown in recording). Confirm intended behaviour with BA/Dev</t>
  </si>
  <si>
    <t>TC_FILTER_06</t>
  </si>
  <si>
    <t>Dashboard performance remains responsive when switching filters</t>
  </si>
  <si>
    <t>1. Switch between different filter options in quick succession
2. Observe load time and responsiveness</t>
  </si>
  <si>
    <t>Rapid filter switching</t>
  </si>
  <si>
    <t>Each filter change loads within an acceptable time (e.g., a few seconds); UI remains responsive, no freezing or crash</t>
  </si>
  <si>
    <t>TC_FILTER_07</t>
  </si>
  <si>
    <t>Filter correctly applies boundary date ranges (e.g., exactly 7 days vs 8 days)</t>
  </si>
  <si>
    <t>1. Select 'Last 7 Days'
2. Verify data included is exactly from today back to 7 days ago (inclusive/exclusive per defined rule)</t>
  </si>
  <si>
    <t>Filter: Last 7 Days</t>
  </si>
  <si>
    <t>Data range boundary is applied consistently and correctly; an invoice dated exactly 7 days ago is included/excluded per a clearly defined rule</t>
  </si>
  <si>
    <t>Source: Functional description document (not shown in recording). Confirm exact date-range boundary rule (inclusive vs exclusive) with BA/Dev</t>
  </si>
  <si>
    <t>TC_OVERVIEW_01</t>
  </si>
  <si>
    <t>Dashboard Overview</t>
  </si>
  <si>
    <t>All 8 columns display correctly for both Current and Previous Period</t>
  </si>
  <si>
    <t>1. Navigate to Dashboard Overview
2. Verify all columns are present</t>
  </si>
  <si>
    <t>Columns displayed: Opening Receivable Balance, Invoice Raised, Invoice Rejected, Invoice Withdrawn, Invoice Settled, Invoice Settled Offline, Credit Note, Closing Receivable Balance — each with Current Period and Previous Period values</t>
  </si>
  <si>
    <t>TC_OVERVIEW_02</t>
  </si>
  <si>
    <t>Closing Receivable Balance is calculated correctly</t>
  </si>
  <si>
    <t>1. Note Opening Receivable Balance, Invoice Raised, Invoice Settled, Invoice Settled Offline, Credit Note, Invoice Withdrawn, Invoice Rejected for the period
2. Manually calculate expected Closing Balance
3. Compare to displayed Closing Receivable Balance</t>
  </si>
  <si>
    <t>Sample period data</t>
  </si>
  <si>
    <t>Closing Receivable Balance matches the manually calculated value based on the standard formula (Opening + Raised - Settled - Settled Offline - Credit Note - Withdrawn - Rejected, or the platform's defined formula)</t>
  </si>
  <si>
    <t>Source: Functional description document (not shown in recording). Confirm the exact Closing Balance formula with BA/Dev</t>
  </si>
  <si>
    <t>TC_OVERVIEW_03</t>
  </si>
  <si>
    <t>Previous Period reflects the immediately preceding period of the same length as the selected filter</t>
  </si>
  <si>
    <t>1. Select 'Last 30 Days' filter
2. Verify Previous Period covers the 30 days immediately before the Current Period's 30 days</t>
  </si>
  <si>
    <t>Previous Period date range is exactly the preceding 30-day window, with no gap or overlap with Current Period</t>
  </si>
  <si>
    <t>TC_OVERVIEW_04</t>
  </si>
  <si>
    <t>Percentage comparison between Current and Previous Period is calculated and displayed correctly</t>
  </si>
  <si>
    <t>1. Note Current and Previous Period values for a metric (e.g., Invoice Raised)
2. Manually calculate % change
3. Compare to displayed percentage</t>
  </si>
  <si>
    <t>Current: 120,000; Previous: 100,000</t>
  </si>
  <si>
    <t>Displayed percentage change matches the manual calculation exactly (e.g., +20%), shown with correct sign (+/-)</t>
  </si>
  <si>
    <t>TC_OVERVIEW_05</t>
  </si>
  <si>
    <t>Percentage comparison displays only the percentage value, not raw difference</t>
  </si>
  <si>
    <t>1. Observe the format of the comparison column</t>
  </si>
  <si>
    <t>Only percentage values are shown (e.g., '+12%', '-8%'), not absolute currency differences</t>
  </si>
  <si>
    <t>TC_OVERVIEW_06</t>
  </si>
  <si>
    <t>Percentage comparison handles a zero Previous Period value gracefully</t>
  </si>
  <si>
    <t>1. Identify a metric with Previous Period = 0 and Current Period &gt; 0
2. Observe the displayed percentage</t>
  </si>
  <si>
    <t>Previous: 0; Current: 5,000</t>
  </si>
  <si>
    <t>System displays a sensible indicator (e.g., 'N/A' or a capped/undefined percentage) rather than a division-by-zero error or broken display</t>
  </si>
  <si>
    <t>Source: Functional description document (not shown in recording). Confirm intended handling of 0 baseline with BA/Dev</t>
  </si>
  <si>
    <t>TC_OVERVIEW_07</t>
  </si>
  <si>
    <t>Every amount in the Dashboard Overview acts as a clickable hyperlink</t>
  </si>
  <si>
    <t>1. Hover/click on any amount cell in the Dashboard Overview table</t>
  </si>
  <si>
    <t>Any amount cell, e.g., Invoice Raised - Current Period</t>
  </si>
  <si>
    <t>The amount is rendered as a clickable hyperlink (visually distinguishable, e.g., underlined/colored) and is clickable</t>
  </si>
  <si>
    <t>TC_OVERVIEW_08</t>
  </si>
  <si>
    <t>Clicking a Dashboard Overview amount navigates to the Invoice page with correct filters applied</t>
  </si>
  <si>
    <t>1. Click the 'Invoice Raised - Current Period' amount
2. Observe the resulting page and applied filters</t>
  </si>
  <si>
    <t>Invoice Raised, Current Period, Last 30 Days filter</t>
  </si>
  <si>
    <t>User is navigated to the Invoice page; filters are automatically applied to show only invoices matching 'Raised' status within the Current Period's 30-day range</t>
  </si>
  <si>
    <t>TC_OVERVIEW_09</t>
  </si>
  <si>
    <t>Clicking a zero-value amount does not error out</t>
  </si>
  <si>
    <t>1. Click an amount cell showing a value of 0 or 'No Data'</t>
  </si>
  <si>
    <t>Amount = 0</t>
  </si>
  <si>
    <t>Navigation still occurs correctly (or the link is disabled/non-clickable for zero values, per defined behaviour) without throwing an error</t>
  </si>
  <si>
    <t>Source: Functional description document (not shown in recording). Confirm intended behaviour for zero-value hyperlinks with BA/Dev</t>
  </si>
  <si>
    <t>TC_OVERVIEW_10</t>
  </si>
  <si>
    <t>Dashboard Overview refreshes correctly when the global filter changes</t>
  </si>
  <si>
    <t>1. Change the global filter (e.g., from Last 30 Days to Last 90 Days)
2. Observe Dashboard Overview values</t>
  </si>
  <si>
    <t>Filter change</t>
  </si>
  <si>
    <t>All columns, both periods, and percentage comparisons update correctly to reflect the newly selected filter range</t>
  </si>
  <si>
    <t>TC_AMTDIST_01</t>
  </si>
  <si>
    <t>Invoice Amount Distribution</t>
  </si>
  <si>
    <t>All 7 invoice statuses are displayed with correct amounts</t>
  </si>
  <si>
    <t>1. Navigate to Invoice Amount Distribution
2. Verify all statuses are shown</t>
  </si>
  <si>
    <t>Graph displays Outstanding, Settled, Settled Offline, Withdrawn, Credit Note, Rejected, and Disputed, each with the correct corresponding amount</t>
  </si>
  <si>
    <t>TC_AMTDIST_02</t>
  </si>
  <si>
    <t>Sum of all status amounts is consistent with total invoice value for the period</t>
  </si>
  <si>
    <t>1. Sum all 7 status amounts
2. Compare against the total invoice value for the selected filter period</t>
  </si>
  <si>
    <t>Sum of all displayed statuses reconciles correctly with the total invoiced amount for the period (per the platform's defined categorization logic)</t>
  </si>
  <si>
    <t>Source: Functional description document (not shown in recording). Confirm whether categories are mutually exclusive or can overlap (e.g., partially settled invoices)</t>
  </si>
  <si>
    <t>TC_AMTDIST_03</t>
  </si>
  <si>
    <t>Graph refreshes correctly when the global filter changes</t>
  </si>
  <si>
    <t>1. Change the global filter
2. Observe the Invoice Amount Distribution graph</t>
  </si>
  <si>
    <t>Graph values update to reflect the newly selected filter period</t>
  </si>
  <si>
    <t>TC_AMTDIST_04</t>
  </si>
  <si>
    <t>Graph displays 'No Data Available' when there is no invoice activity for the period</t>
  </si>
  <si>
    <t>1. Select a filter/period with zero invoice activity</t>
  </si>
  <si>
    <t>No data period</t>
  </si>
  <si>
    <t>Graph area shows an appropriate 'No Data Available' message instead of a blank or broken chart</t>
  </si>
  <si>
    <t>TC_AMTDIST_05</t>
  </si>
  <si>
    <t>Hovering/clicking a status segment shows the correct tooltip/value</t>
  </si>
  <si>
    <t>1. Hover over or click the 'Settled' segment of the graph</t>
  </si>
  <si>
    <t>Settled segment</t>
  </si>
  <si>
    <t>Tooltip or label displays the exact Settled amount, matching the underlying data</t>
  </si>
  <si>
    <t>TC_CNTDIST_01</t>
  </si>
  <si>
    <t>Invoice Count Distribution</t>
  </si>
  <si>
    <t>Pie chart displays all 4 invoice statuses with correct counts</t>
  </si>
  <si>
    <t>1. Navigate to Invoice Count Distribution
2. Verify all statuses are shown</t>
  </si>
  <si>
    <t>Pie chart displays Outstanding, Settled, Withdrawn, and Rejected, each segment representing the correct invoice count</t>
  </si>
  <si>
    <t>TC_CNTDIST_02</t>
  </si>
  <si>
    <t>Sum of all pie chart segment counts equals total invoice count for the period</t>
  </si>
  <si>
    <t>1. Sum all 4 segment counts
2. Compare against total invoice count for the selected filter</t>
  </si>
  <si>
    <t>Sum of segment counts matches the total number of invoices for the period exactly</t>
  </si>
  <si>
    <t>TC_CNTDIST_03</t>
  </si>
  <si>
    <t>Pie chart refreshes correctly when the global filter changes</t>
  </si>
  <si>
    <t>1. Change the global filter
2. Observe the pie chart</t>
  </si>
  <si>
    <t>Pie chart counts update to reflect the newly selected filter period</t>
  </si>
  <si>
    <t>TC_CNTDIST_04</t>
  </si>
  <si>
    <t>Pie chart displays 'No Data Available' when there are no invoices for the period</t>
  </si>
  <si>
    <t>1. Select a filter/period with zero invoices</t>
  </si>
  <si>
    <t>Chart area shows an appropriate 'No Data Available' message instead of an empty/broken pie chart</t>
  </si>
  <si>
    <t>TC_CNTDIST_05</t>
  </si>
  <si>
    <t>Pie chart segment colors and legend are consistent and correctly labeled</t>
  </si>
  <si>
    <t>1. Observe the pie chart's color coding and legend</t>
  </si>
  <si>
    <t>Each status has a distinct, consistent color matching its legend label; no ambiguity between segments</t>
  </si>
  <si>
    <t>TC_TOP3_01</t>
  </si>
  <si>
    <t>Top 3 Buyers</t>
  </si>
  <si>
    <t>Table displays exactly 3 buyer columns with all 5 metrics</t>
  </si>
  <si>
    <t>1. Navigate to Top 3 Buyers
2. Verify table structure</t>
  </si>
  <si>
    <t>Table shows Buyer 1, Buyer 2, and Buyer 3 columns, each with Raised Amount, Settled Amount, Pending Amount, Average Payout Days, and Status rows</t>
  </si>
  <si>
    <t>TC_TOP3_02</t>
  </si>
  <si>
    <t>Buyers are correctly ranked by the appropriate ranking metric</t>
  </si>
  <si>
    <t>1. Verify the criteria used to determine 'top' buyers (e.g., by Raised Amount)
2. Confirm Buyer 1 &gt; Buyer 2 &gt; Buyer 3 by that metric</t>
  </si>
  <si>
    <t>Sample buyer data</t>
  </si>
  <si>
    <t>The 3 buyers are correctly ranked in descending order according to the defined ranking metric</t>
  </si>
  <si>
    <t>Source: Screen Recording (confirmed). Confirm the exact ranking metric (Raised Amount vs Settled Amount vs another) with BA/Dev</t>
  </si>
  <si>
    <t>TC_TOP3_03</t>
  </si>
  <si>
    <t>Average Payout Days is calculated correctly for each buyer</t>
  </si>
  <si>
    <t>1. Manually calculate average payout days for a buyer based on their settled invoices
2. Compare to displayed value</t>
  </si>
  <si>
    <t>Buyer settlement history</t>
  </si>
  <si>
    <t>Displayed Average Payout Days matches the manual calculation</t>
  </si>
  <si>
    <t>TC_TOP3_04</t>
  </si>
  <si>
    <t>Table refreshes correctly when the global filter changes</t>
  </si>
  <si>
    <t>1. Change the global filter
2. Observe the Top 3 Buyers table</t>
  </si>
  <si>
    <t>All buyer rankings and metrics update to reflect the newly selected filter period; the top 3 buyers may change accordingly</t>
  </si>
  <si>
    <t>TC_TOP3_05</t>
  </si>
  <si>
    <t>Section handles fewer than 3 buyers gracefully</t>
  </si>
  <si>
    <t>1. View the dashboard for an airline with only 1 or 2 buyers</t>
  </si>
  <si>
    <t>1-2 buyers only</t>
  </si>
  <si>
    <t>Table displays only the available buyers (1 or 2 columns) with remaining columns empty or hidden, rather than showing broken/blank placeholder columns</t>
  </si>
  <si>
    <t>TC_TOP3_06</t>
  </si>
  <si>
    <t>Section displays 'No Data Available' when there are no buyers/transactions for the period</t>
  </si>
  <si>
    <t>1. Select a filter/period with zero buyer activity</t>
  </si>
  <si>
    <t>Section shows an appropriate 'No Data Available' message instead of blank columns</t>
  </si>
  <si>
    <t>TC_TOP3PERF_01</t>
  </si>
  <si>
    <t>Top 3 Buyers Performance</t>
  </si>
  <si>
    <t>Graph displays performance comparison for the same 3 buyers shown in Top 3 Buyers</t>
  </si>
  <si>
    <t>1. Navigate to Top 3 Buyers Performance
2. Compare buyer names against the Top 3 Buyers section</t>
  </si>
  <si>
    <t>The graph reflects the same 3 buyers identified in the Top 3 Buyers section, with consistent naming and data</t>
  </si>
  <si>
    <t>TC_TOP3PERF_02</t>
  </si>
  <si>
    <t>1. Change the global filter
2. Observe the Top 3 Buyers Performance graph</t>
  </si>
  <si>
    <t>Graph dynamically updates to reflect the newly selected filter period, potentially changing which 3 buyers are shown</t>
  </si>
  <si>
    <t>TC_TOP3PERF_03</t>
  </si>
  <si>
    <t>Graph data is synchronized with the Top 3 Buyers table values</t>
  </si>
  <si>
    <t>1. Compare specific data points on the graph against the corresponding values in the Top 3 Buyers table</t>
  </si>
  <si>
    <t>Same filter applied to both sections</t>
  </si>
  <si>
    <t>Graph values are consistent with and accurately represent the table data; no mismatch between the two views</t>
  </si>
  <si>
    <t>TC_TOP3PERF_04</t>
  </si>
  <si>
    <t>Graph displays 'No Data Available' when there is no buyer performance data</t>
  </si>
  <si>
    <t>Graph area shows an appropriate 'No Data Available' message instead of an empty/broken chart</t>
  </si>
  <si>
    <t>TC_REJREASON_01</t>
  </si>
  <si>
    <t>Rejection / Withdrawn Reasons</t>
  </si>
  <si>
    <t>Overall dropdown displays all 4 options correctly</t>
  </si>
  <si>
    <t>1. Click the Overall dropdown
2. Review options</t>
  </si>
  <si>
    <t>Dropdown shows exactly: Overall, Withdrawn, Rejected, Disputed</t>
  </si>
  <si>
    <t>TC_REJREASON_02</t>
  </si>
  <si>
    <t>Buyer dropdown displays 'All Buyers' plus individual buyer names</t>
  </si>
  <si>
    <t>1. Click the Buyer dropdown
2. Review options</t>
  </si>
  <si>
    <t>Dropdown shows 'All Buyers' as the first/default option, followed by a complete list of individual buyer names</t>
  </si>
  <si>
    <t>TC_REJREASON_03</t>
  </si>
  <si>
    <t>Only one option can be selected in each dropdown at a time</t>
  </si>
  <si>
    <t>1. Attempt to select multiple options in the Overall dropdown
2. Repeat for the Buyer dropdown</t>
  </si>
  <si>
    <t>Both dropdowns behave as single-select controls</t>
  </si>
  <si>
    <t>TC_REJREASON_04</t>
  </si>
  <si>
    <t>Pie chart updates correctly when the Overall dropdown selection changes</t>
  </si>
  <si>
    <t>1. Select 'Withdrawn' from the Overall dropdown
2. Observe the pie chart</t>
  </si>
  <si>
    <t>Overall: Withdrawn</t>
  </si>
  <si>
    <t>Pie chart updates to show only withdrawal-reason categories and their respective invoice counts</t>
  </si>
  <si>
    <t>TC_REJREASON_05</t>
  </si>
  <si>
    <t>Pie chart updates correctly when the Buyer dropdown selection changes</t>
  </si>
  <si>
    <t>1. Select a specific buyer from the Buyer dropdown
2. Observe the pie chart</t>
  </si>
  <si>
    <t>Buyer: [Specific Buyer Name]</t>
  </si>
  <si>
    <t>Pie chart updates to show data filtered to only that buyer's invoices</t>
  </si>
  <si>
    <t>TC_REJREASON_06</t>
  </si>
  <si>
    <t>Pie chart updates correctly when both dropdowns are changed together</t>
  </si>
  <si>
    <t>1. Select 'Rejected' in the Overall dropdown AND a specific buyer in the Buyer dropdown
2. Observe the pie chart</t>
  </si>
  <si>
    <t>Overall: Rejected; Buyer: [Specific Buyer]</t>
  </si>
  <si>
    <t>Pie chart reflects data filtered by both selections simultaneously (rejected invoices for that specific buyer only)</t>
  </si>
  <si>
    <t>TC_REJREASON_07</t>
  </si>
  <si>
    <t>Pie chart displays 'No Data Available' when the selected combination has no matching data</t>
  </si>
  <si>
    <t>1. Select a combination of Overall + Buyer filters with no matching invoices</t>
  </si>
  <si>
    <t>Overall: Disputed; Buyer: [buyer with no disputes]</t>
  </si>
  <si>
    <t>Chart area shows an appropriate 'No Data Available' message instead of a blank/broken chart</t>
  </si>
  <si>
    <t>TC_AGING_01</t>
  </si>
  <si>
    <t>Invoice Aging</t>
  </si>
  <si>
    <t>Invoice Status filter displays both options correctly</t>
  </si>
  <si>
    <t>1. Click the Invoice Status filter
2. Review options</t>
  </si>
  <si>
    <t>Filter shows exactly: Pending, Partially Settled</t>
  </si>
  <si>
    <t>TC_AGING_02</t>
  </si>
  <si>
    <t>Aging Interval (Days) accepts a valid positive numeric input</t>
  </si>
  <si>
    <t>1. Enter a valid positive number in the Aging Interval (Days) field
2. Apply</t>
  </si>
  <si>
    <t>Aging Interval: 15</t>
  </si>
  <si>
    <t>Graph refreshes using 15-day aging intervals; value is accepted without error</t>
  </si>
  <si>
    <t>TC_AGING_03</t>
  </si>
  <si>
    <t>Aging Interval (Days) rejects zero, negative, or non-numeric input</t>
  </si>
  <si>
    <t>1. Enter '0', a negative number, or letters in the Aging Interval field
2. Attempt to apply</t>
  </si>
  <si>
    <t>Aging Interval: -5 or 'abc'</t>
  </si>
  <si>
    <t>Validation error shown; invalid value is not applied to the graph</t>
  </si>
  <si>
    <t>TC_AGING_04</t>
  </si>
  <si>
    <t>Number of Intervals accepts a valid positive integer</t>
  </si>
  <si>
    <t>1. Enter a valid positive integer in the Number of Intervals field
2. Apply</t>
  </si>
  <si>
    <t>Number of Intervals: 6</t>
  </si>
  <si>
    <t>Graph displays exactly 6 aging buckets based on the specified interval; value is accepted</t>
  </si>
  <si>
    <t>TC_AGING_05</t>
  </si>
  <si>
    <t>Number of Intervals rejects zero, negative, or non-numeric input</t>
  </si>
  <si>
    <t>1. Enter '0', a negative number, or letters in the Number of Intervals field
2. Attempt to apply</t>
  </si>
  <si>
    <t>Number of Intervals: -2 or 'xyz'</t>
  </si>
  <si>
    <t>TC_AGING_06</t>
  </si>
  <si>
    <t>Graph refreshes correctly based on the combination of Invoice Status, Buyer, Aging Interval, and Number of Intervals</t>
  </si>
  <si>
    <t>1. Set Invoice Status = Partially Settled, Buyer = [Specific Buyer], Aging Interval = 30, Number of Intervals = 4
2. Apply and observe the graph</t>
  </si>
  <si>
    <t>All 4 inputs set as above</t>
  </si>
  <si>
    <t>Graph accurately reflects aging data filtered and bucketed according to all 4 selected inputs simultaneously</t>
  </si>
  <si>
    <t>TC_AGING_07</t>
  </si>
  <si>
    <t>Buyer filter defaults to 'All Buyers' and lists individual buyers correctly</t>
  </si>
  <si>
    <t>1. Click the Buyer dropdown in Invoice Aging</t>
  </si>
  <si>
    <t>Dropdown shows 'All Buyers' as default plus a complete, correctly labeled list of individual buyers</t>
  </si>
  <si>
    <t>TC_AGING_08</t>
  </si>
  <si>
    <t>Graph displays 'No Data Available' when no invoices match the selected aging criteria</t>
  </si>
  <si>
    <t>1. Select filter criteria with no matching invoices (e.g., a buyer with zero pending invoices)</t>
  </si>
  <si>
    <t>No matching data</t>
  </si>
  <si>
    <t>Graph area shows an appropriate 'No Data Available' message instead of a blank/broken chart</t>
  </si>
  <si>
    <t>TC_AGING_09</t>
  </si>
  <si>
    <t>Extremely large Number of Intervals value is handled gracefully</t>
  </si>
  <si>
    <t>1. Enter an unreasonably large value (e.g., 9999) in Number of Intervals
2. Apply</t>
  </si>
  <si>
    <t>Number of Intervals: 9999</t>
  </si>
  <si>
    <t>System either caps the value at a sensible maximum, shows a validation warning, or renders the graph without performance degradation/crash</t>
  </si>
  <si>
    <t>Source: Functional description document (not shown in recording). Confirm intended max limit with BA/Dev</t>
  </si>
  <si>
    <t>TC_SETTLED_01</t>
  </si>
  <si>
    <t>Invoice Settled</t>
  </si>
  <si>
    <t>Status filter displays both options correctly</t>
  </si>
  <si>
    <t>1. Click the Status filter in Invoice Settled
2. Review options</t>
  </si>
  <si>
    <t>Filter shows exactly: Settled, Partially Settled</t>
  </si>
  <si>
    <t>TC_SETTLED_02</t>
  </si>
  <si>
    <t>1. Click the Buyer dropdown in Invoice Settled</t>
  </si>
  <si>
    <t>TC_SETTLED_03</t>
  </si>
  <si>
    <t>Section data updates correctly when Status and Buyer filters change</t>
  </si>
  <si>
    <t>1. Select Status = Partially Settled, Buyer = [Specific Buyer]
2. Observe the displayed data</t>
  </si>
  <si>
    <t>Status: Partially Settled; Buyer: [Specific Buyer]</t>
  </si>
  <si>
    <t>Displayed data reflects only partially settled invoices for the selected buyer</t>
  </si>
  <si>
    <t>TC_SETTLED_04</t>
  </si>
  <si>
    <t>All Details' button navigates to the Invoice page with correct filters applied</t>
  </si>
  <si>
    <t>1. Set Status = Settled, Buyer = [Specific Buyer]
2. Click 'All Details'</t>
  </si>
  <si>
    <t>Status: Settled; Buyer: [Specific Buyer]</t>
  </si>
  <si>
    <t>User is navigated to the Invoice page, automatically filtered to show only settled invoices for the selected buyer, consistent with the dashboard selection</t>
  </si>
  <si>
    <t>TC_SETTLED_05</t>
  </si>
  <si>
    <t>Section displays 'No Data Available' when there are no matching settled invoices</t>
  </si>
  <si>
    <t>1. Select a Status/Buyer combination with no matching invoices</t>
  </si>
  <si>
    <t>Section shows an appropriate 'No Data Available' message instead of blank/broken content</t>
  </si>
  <si>
    <t>TC_SETTLED_06</t>
  </si>
  <si>
    <t>Section refreshes correctly when the global dashboard filter changes</t>
  </si>
  <si>
    <t>1. Change the global filter
2. Observe the Invoice Settled section</t>
  </si>
  <si>
    <t>Section data updates to reflect the newly selected filter period, in combination with any Status/Buyer selections</t>
  </si>
  <si>
    <t>TC_PENDING_01</t>
  </si>
  <si>
    <t>Invoice Pending</t>
  </si>
  <si>
    <t>All 4 filters are available and correctly populated</t>
  </si>
  <si>
    <t>1. Click each filter dropdown in Invoice Pending (Buyer, RM, Year, Quarter)
2. Review options</t>
  </si>
  <si>
    <t>All 4 filters show 'All' as default plus a complete, correctly labeled list of individual values (Buyers, RMs, Years, Quarters)</t>
  </si>
  <si>
    <t>TC_PENDING_02</t>
  </si>
  <si>
    <t>Graph and table are synchronized for the same filter selection</t>
  </si>
  <si>
    <t>1. Apply a specific filter combination
2. Compare graph values against table values</t>
  </si>
  <si>
    <t>Buyer: [X]; RM: [Y]; Year: 2026; Quarter: Q2</t>
  </si>
  <si>
    <t>Graph and table display consistent, matching data for the same filter combination</t>
  </si>
  <si>
    <t>TC_PENDING_03</t>
  </si>
  <si>
    <t>Both graph and table update when any single filter changes</t>
  </si>
  <si>
    <t>1. Change only the Quarter filter (leave others unchanged)
2. Observe both graph and table</t>
  </si>
  <si>
    <t>Quarter changed from Q1 to Q2</t>
  </si>
  <si>
    <t>Both the graph and table refresh to reflect the new Quarter selection while respecting the other unchanged filters</t>
  </si>
  <si>
    <t>TC_PENDING_04</t>
  </si>
  <si>
    <t>Section displays 'No Data Available' for a filter combination with no pending invoices</t>
  </si>
  <si>
    <t>1. Select a filter combination with zero pending invoices</t>
  </si>
  <si>
    <t>Both graph and table show an appropriate 'No Data Available' message instead of blank/broken content</t>
  </si>
  <si>
    <t>TC_PENDING_05</t>
  </si>
  <si>
    <t>Year and Quarter filters only show valid, existing values</t>
  </si>
  <si>
    <t>1. Click the Year dropdown
2. Click the Quarter dropdown</t>
  </si>
  <si>
    <t>Only years/quarters with actual data (or a reasonable defined range) are listed; no invalid or empty future periods are shown without data</t>
  </si>
  <si>
    <t>Source: Functional description document (not shown in recording). Confirm exact year/quarter population rule with BA/Dev</t>
  </si>
  <si>
    <t>TC_CREDIT_01</t>
  </si>
  <si>
    <t>Credit Review</t>
  </si>
  <si>
    <t>1. Click each filter dropdown in Credit Review (Buyer, RM, Year, Quarter)
2. Review options</t>
  </si>
  <si>
    <t>All 4 filters show 'All' as default plus a complete, correctly labeled list of individual values</t>
  </si>
  <si>
    <t>TC_CREDIT_02</t>
  </si>
  <si>
    <t>Credit Review only includes settled invoices, not outstanding/rejected ones</t>
  </si>
  <si>
    <t>1. Verify the underlying data set used for Credit Review calculations</t>
  </si>
  <si>
    <t>Mixed invoice statuses</t>
  </si>
  <si>
    <t>Only settled invoices are included in the credit performance analysis; outstanding, rejected, or withdrawn invoices are excluded</t>
  </si>
  <si>
    <t>TC_CREDIT_03</t>
  </si>
  <si>
    <t>Graph View and Table View display synchronized data</t>
  </si>
  <si>
    <t>1. Apply a filter combination
2. Compare Graph View values against Table View values</t>
  </si>
  <si>
    <t>Buyer: [X]; Year: 2026</t>
  </si>
  <si>
    <t>Both views show consistent, matching data for the same filter selection</t>
  </si>
  <si>
    <t>TC_CREDIT_04</t>
  </si>
  <si>
    <t>Switching between Graph View and Table View retains the applied filters</t>
  </si>
  <si>
    <t>1. Apply filters in Graph View
2. Switch to Table View
3. Observe whether filters are retained</t>
  </si>
  <si>
    <t>Filters applied in Graph View</t>
  </si>
  <si>
    <t>Table View reflects the same filters applied in Graph View, without requiring re-selection</t>
  </si>
  <si>
    <t>TC_CREDIT_05</t>
  </si>
  <si>
    <t>Section displays 'No Data Available' for a filter combination with no settled invoices</t>
  </si>
  <si>
    <t>1. Select a filter combination with zero settled invoices</t>
  </si>
  <si>
    <t>Both Graph View and Table View show an appropriate 'No Data Available' message</t>
  </si>
  <si>
    <t>TC_OUTSTAND_01</t>
  </si>
  <si>
    <t>Outstanding Invoice</t>
  </si>
  <si>
    <t>1. Click each filter dropdown in Outstanding Invoice (Buyer, RM, Year, Quarter)
2. Review options</t>
  </si>
  <si>
    <t>TC_OUTSTAND_02</t>
  </si>
  <si>
    <t>Buyer: [X]; RM: [Y]</t>
  </si>
  <si>
    <t>Both views show consistent, matching outstanding invoice data for the same filter selection</t>
  </si>
  <si>
    <t>TC_OUTSTAND_03</t>
  </si>
  <si>
    <t>All Details' button navigates to the Invoice page showing only outstanding invoices matching the selected filters</t>
  </si>
  <si>
    <t>1. Apply filters (e.g., Buyer = [X], Year = 2026)
2. Click 'All Details'</t>
  </si>
  <si>
    <t>User is navigated to the Invoice page, filtered to show only outstanding invoices matching the selected Buyer/RM/Year/Quarter combination</t>
  </si>
  <si>
    <t>TC_OUTSTAND_04</t>
  </si>
  <si>
    <t>Section displays 'No Data Available' for a filter combination with no outstanding invoices</t>
  </si>
  <si>
    <t>1. Select a filter combination with zero outstanding invoices</t>
  </si>
  <si>
    <t>TC_OUTSTAND_05</t>
  </si>
  <si>
    <t>Outstanding Invoice data reconciles with Pending Amount Till Date's Total</t>
  </si>
  <si>
    <t>1. Compare the total Outstanding Invoice amount (all filters = All) against the 'Total' shown in Pending Amount Till Date</t>
  </si>
  <si>
    <t>All filters = All</t>
  </si>
  <si>
    <t>The two values reconcile correctly (or any intentional difference in scope/definition is documented and explainable)</t>
  </si>
  <si>
    <t>Source: Functional description document (not shown in recording). Confirm whether these two metrics are expected to match exactly or represent different scopes</t>
  </si>
  <si>
    <t>TC_CONSOL_01</t>
  </si>
  <si>
    <t>Consolidated Dashboard</t>
  </si>
  <si>
    <t>Consolidated View is available only for airlines with multiple entities</t>
  </si>
  <si>
    <t>1. Login as an airline user associated with more than one entity
2. Check for the availability of a 'Consolidated View' option</t>
  </si>
  <si>
    <t>Multi-entity airline account</t>
  </si>
  <si>
    <t>Consolidated View option is visible and selectable</t>
  </si>
  <si>
    <t>TC_CONSOL_02</t>
  </si>
  <si>
    <t>Consolidated View is NOT available for a single-entity airline</t>
  </si>
  <si>
    <t>1. Login as an airline user associated with only one entity
2. Check for the availability of a 'Consolidated View' option</t>
  </si>
  <si>
    <t>Single-entity airline account</t>
  </si>
  <si>
    <t>Consolidated View option is not shown; only the individual entity dashboard is displayed</t>
  </si>
  <si>
    <t>TC_CONSOL_03</t>
  </si>
  <si>
    <t>Selecting Consolidated View aggregates data from all associated entities</t>
  </si>
  <si>
    <t>1. Login as a multi-entity airline user
2. Switch to Consolidated View
3. Verify Today Activity and other sections reflect combined totals</t>
  </si>
  <si>
    <t>Entity A + Entity B data</t>
  </si>
  <si>
    <t>All sections display the sum/aggregate of Entity A and Entity B's data, not just one entity's figures</t>
  </si>
  <si>
    <t>TC_CONSOL_04</t>
  </si>
  <si>
    <t>All 12+ listed dashboard sections display consolidated values correctly</t>
  </si>
  <si>
    <t>1. In Consolidated View, check each section: Today Activity, Pending Amount Till Date, Dashboard Overview, Invoice Amount Distribution, Invoice Count Distribution, Top 3 Buyers, Top 3 Buyers Performance, Rejection/Withdrawn Reasons, Invoice Aging, Invoice Settled, Invoice Pending, Credit Review, Outstanding Invoice</t>
  </si>
  <si>
    <t>Multi-entity data</t>
  </si>
  <si>
    <t>Every listed section correctly displays aggregated values across all associated entities, with no section left showing single-entity data by mistake</t>
  </si>
  <si>
    <t>TC_CONSOL_05</t>
  </si>
  <si>
    <t>Global dashboard filters apply correctly to consolidated data</t>
  </si>
  <si>
    <t>1. In Consolidated View, change the global filter (e.g., to Last 6 Months)
2. Observe all sections</t>
  </si>
  <si>
    <t>All sections refresh to display consolidated data for the newly selected filter period</t>
  </si>
  <si>
    <t>TC_CONSOL_06</t>
  </si>
  <si>
    <t>Hyperlinks in Consolidated View navigate correctly and show invoices from all applicable entities</t>
  </si>
  <si>
    <t>1. In Consolidated View, click an amount hyperlink (e.g., Invoice Raised in Dashboard Overview)
2. Observe the resulting Invoice page</t>
  </si>
  <si>
    <t>Consolidated View, Invoice Raised amount</t>
  </si>
  <si>
    <t>User is navigated to the Invoice page showing invoices from all associated entities matching the selected metric and filter, not just one entity</t>
  </si>
  <si>
    <t>TC_CONSOL_07</t>
  </si>
  <si>
    <t>Switching between Entity View and Consolidated View refreshes widgets without a full page reload</t>
  </si>
  <si>
    <t>1. Toggle between Entity View and Consolidated View
2. Observe whether the page reloads</t>
  </si>
  <si>
    <t>All dashboard widgets refresh dynamically to reflect the selected view without a full page reload</t>
  </si>
  <si>
    <t>TC_CONSOL_08</t>
  </si>
  <si>
    <t>Consolidated View displays 'No Data Available' when no entities have data for the selected filter</t>
  </si>
  <si>
    <t>1. Select a filter/period with zero activity across all entities in Consolidated View</t>
  </si>
  <si>
    <t>No data across all entities</t>
  </si>
  <si>
    <t>Dashboard displays an appropriate 'No Data Available' message rather than blank sections or errors</t>
  </si>
  <si>
    <t>TC_CONSOL_09</t>
  </si>
  <si>
    <t>Switching back to Entity View from Consolidated View shows only that entity's data</t>
  </si>
  <si>
    <t>1. From Consolidated View, switch back to a specific individual Entity View</t>
  </si>
  <si>
    <t>Entity A selected</t>
  </si>
  <si>
    <t>Dashboard reverts to showing only Entity A's data, not the previously aggregated consolidated figures</t>
  </si>
  <si>
    <t>TC_CONSOL_10</t>
  </si>
  <si>
    <t>Newly added entity is correctly included in Consolidated View aggregation</t>
  </si>
  <si>
    <t>1. Add a new entity to a multi-entity airline account
2. Check Consolidated View</t>
  </si>
  <si>
    <t>New Entity C added</t>
  </si>
  <si>
    <t>Consolidated View aggregation updates to include Entity C's data alongside existing entities</t>
  </si>
  <si>
    <t>TC_GEN_01</t>
  </si>
  <si>
    <t>General Functional Rules</t>
  </si>
  <si>
    <t>All dashboard widgets load successfully without errors on initial page load</t>
  </si>
  <si>
    <t>1. Login and navigate to the Airlines Dashboard for the first time in a session
2. Observe all sections loading</t>
  </si>
  <si>
    <t>Every widget (Today Activity, Pending Amount, Dashboard Overview, all graphs, tables, etc.) loads successfully with no error messages, broken components, or infinite loading spinners</t>
  </si>
  <si>
    <t>TC_GEN_02</t>
  </si>
  <si>
    <t>Graphs, charts, tables, and summary cards remain synchronized across the dashboard</t>
  </si>
  <si>
    <t>1. Apply a specific filter
2. Cross-check values across multiple related sections (e.g., Invoice Count Distribution vs Dashboard Overview invoice counts)</t>
  </si>
  <si>
    <t>All related widgets show mutually consistent data; no contradictions between sections for the same underlying data set</t>
  </si>
  <si>
    <t>TC_GEN_03</t>
  </si>
  <si>
    <t>All dropdowns across the dashboard only display valid values</t>
  </si>
  <si>
    <t>1. Open each dropdown across all dashboard sections
2. Verify no blank, duplicate, or invalid entries appear</t>
  </si>
  <si>
    <t>Every dropdown across the dashboard shows only valid, correctly populated, non-duplicated options</t>
  </si>
  <si>
    <t>TC_GEN_04</t>
  </si>
  <si>
    <t>All single-select dropdowns enforce single selection</t>
  </si>
  <si>
    <t>1. Attempt multi-selection behavior on each single-select dropdown across the dashboard</t>
  </si>
  <si>
    <t>Every single-select dropdown across the dashboard allows only one selection at a time</t>
  </si>
  <si>
    <t>TC_GEN_05</t>
  </si>
  <si>
    <t>Monetary values are formatted consistently across all sections</t>
  </si>
  <si>
    <t>1. Compare currency formatting (symbol, decimals, thousand separators) across Today Activity, Pending Amount, Dashboard Overview, and other monetary sections</t>
  </si>
  <si>
    <t>All monetary values follow the same consistent formatting convention throughout the entire dashboard</t>
  </si>
  <si>
    <t>TC_GEN_06</t>
  </si>
  <si>
    <t>Empty data scenarios consistently show 'No Data Available' rather than blank sections or errors</t>
  </si>
  <si>
    <t>1. Force a no-data scenario across multiple sections (e.g., new account with zero transactions)
2. Observe each section</t>
  </si>
  <si>
    <t>New account, zero data</t>
  </si>
  <si>
    <t>Every section consistently displays an appropriate 'No Data Available' message; no section shows a blank white space, spinner stuck loading, or a JavaScript error</t>
  </si>
  <si>
    <t>TC_GEN_07</t>
  </si>
  <si>
    <t>Dashboard remains responsive under filter changes with a large dataset</t>
  </si>
  <si>
    <t>1. Use an account with a large volume of historical invoices
2. Change filters repeatedly and observe load times</t>
  </si>
  <si>
    <t>Large dataset account</t>
  </si>
  <si>
    <t>Dashboard remains responsive; each filter change completes within an acceptable time without freezing the browser</t>
  </si>
  <si>
    <t>TC_GEN_08</t>
  </si>
  <si>
    <t>UI elements are properly aligned, responsive, and consistent across all sections and screen sizes</t>
  </si>
  <si>
    <t>1. View the dashboard on desktop, tablet, and mobile viewport sizes
2. Check alignment and layout of all sections</t>
  </si>
  <si>
    <t>Viewports: 1920px, 768px, 375px</t>
  </si>
  <si>
    <t>All sections render with proper alignment, no overlapping elements, and remain usable and readable across all tested screen sizes</t>
  </si>
  <si>
    <t>TC_GEN_09</t>
  </si>
  <si>
    <t>Percentage calculations across the dashboard are accurate to a consistent decimal precision</t>
  </si>
  <si>
    <t>1. Cross-check percentage values shown in Dashboard Overview against manual calculations</t>
  </si>
  <si>
    <t>Sample data across multiple metrics</t>
  </si>
  <si>
    <t>All percentage values are calculated accurately and displayed with consistent decimal precision (e.g., always whole numbers, or always 1 decimal place)</t>
  </si>
  <si>
    <t>Source: Functional description document (not shown in recording). Confirm expected decimal precision convention with BA/Dev</t>
  </si>
  <si>
    <t>TC_GEN_10</t>
  </si>
  <si>
    <t>Session/permission check — a user cannot view another airline's dashboard data</t>
  </si>
  <si>
    <t>1. Login as Airline A
2. Attempt to access Airline B's dashboard via direct URL/ID manipulation</t>
  </si>
  <si>
    <t>Airline A session, Airline B's dashboard URL/ID</t>
  </si>
  <si>
    <t>Access is denied with an authorization error; Airline A cannot view Airline B's dashboard data under any circumstance</t>
  </si>
  <si>
    <t>TC_LIST_01</t>
  </si>
  <si>
    <t>Buyer Listing</t>
  </si>
  <si>
    <t>Buyer Listing page displays all required columns/elements</t>
  </si>
  <si>
    <t>1. Navigate to Dashboard &gt; Buyers
2. Observe the listing page</t>
  </si>
  <si>
    <t>Page displays Buyer Name, Invoice Statistics, Due Information, Rejected Count, Health Status, Action Icons, Search field, and Add Buyer button for every buyer</t>
  </si>
  <si>
    <t>Recording shows the overall flow (Buyers list -&gt; Add Buyer -&gt; popup -&gt; Save -&gt; list refresh) but this specific detail (exact wording/limit/behaviour) was not clearly confirmable frame-by-frame — verify against the live app during execution.</t>
  </si>
  <si>
    <t>TC_LIST_02</t>
  </si>
  <si>
    <t>Each buyer record represents a unique buyer with accurate data</t>
  </si>
  <si>
    <t>1. Review multiple buyer rows in the listing
2. Cross-check invoice statistics, due info, and rejected count against actual buyer transaction data</t>
  </si>
  <si>
    <t>Sample buyers with known transaction history</t>
  </si>
  <si>
    <t>Each row correctly and uniquely represents one buyer, with accurate statistics matching the underlying data — no duplicate rows for the same buyer</t>
  </si>
  <si>
    <t>TC_LIST_03</t>
  </si>
  <si>
    <t>Health Status is calculated and displayed correctly per buyer</t>
  </si>
  <si>
    <t>1. Identify a buyer with good payment history and one with poor/overdue history
2. Compare their displayed Health Status</t>
  </si>
  <si>
    <t>Buyer A: good history; Buyer B: overdue history</t>
  </si>
  <si>
    <t>Health Status accurately reflects each buyer's payment behaviour (e.g., 'Good' vs 'Poor'), consistent with the underlying data</t>
  </si>
  <si>
    <t>Confirm exact Health Status calculation logic/thresholds with BA/Dev</t>
  </si>
  <si>
    <t>TC_LIST_04</t>
  </si>
  <si>
    <t>Action icons on each row navigate/function correctly</t>
  </si>
  <si>
    <t>1. Click each action icon (e.g., View, Edit) on a buyer row</t>
  </si>
  <si>
    <t>Each action icon performs its intended function correctly (e.g., View opens buyer details, Edit opens an editable form) without error</t>
  </si>
  <si>
    <t>TC_LIST_05</t>
  </si>
  <si>
    <t>Buyer Listing page loads successfully with an empty buyer list</t>
  </si>
  <si>
    <t>1. View the Buyers page for a newly onboarded airline with zero buyers</t>
  </si>
  <si>
    <t>No buyers exist</t>
  </si>
  <si>
    <t>Page displays an appropriate empty-state message (e.g., 'No buyers found. Click Add Buyer to get started.') rather than a blank page or error</t>
  </si>
  <si>
    <t>TC_LIST_06</t>
  </si>
  <si>
    <t>Buyer Listing supports pagination or scrolling for a large number of buyers</t>
  </si>
  <si>
    <t>1. View the Buyers page for an airline with a large number of buyers (e.g., 100+)</t>
  </si>
  <si>
    <t>100+ buyers</t>
  </si>
  <si>
    <t>List is paginated or scrollable, loads within an acceptable time, and displays all buyers correctly across pages/scroll</t>
  </si>
  <si>
    <t>TC_LIST_07</t>
  </si>
  <si>
    <t>Buyer Listing correctly reflects only buyers for the currently selected entity</t>
  </si>
  <si>
    <t>1. For a multi-entity airline, view the Buyer Listing under Entity A
2. Switch to Entity B
3. Compare buyer lists</t>
  </si>
  <si>
    <t>Entity A and Entity B with different buyers</t>
  </si>
  <si>
    <t>Buyer list correctly updates to show only Entity B's buyers after switching; Entity A's buyers are not shown under Entity B</t>
  </si>
  <si>
    <t>TC_SEARCH_01</t>
  </si>
  <si>
    <t>Search Buyer</t>
  </si>
  <si>
    <t>Search returns correct results for a valid buyer name</t>
  </si>
  <si>
    <t>1. Enter a full or partial buyer name in the Search field
2. Observe results</t>
  </si>
  <si>
    <t>Search: 'Milton'</t>
  </si>
  <si>
    <t>Results automatically refresh to show only buyers matching 'Milton' (e.g., 'Milton Buyers'); the list updates without requiring a separate search button click</t>
  </si>
  <si>
    <t>TC_SEARCH_02</t>
  </si>
  <si>
    <t>Search results refresh automatically as the user types (if live search)</t>
  </si>
  <si>
    <t>1. Type a search term character by character
2. Observe whether results update after each keystroke or after a short delay</t>
  </si>
  <si>
    <t>Search: 'M', 'Mi', 'Mil'...</t>
  </si>
  <si>
    <t>Results refresh automatically (live search) or after a brief debounce delay, without needing a manual refresh/search button click</t>
  </si>
  <si>
    <t>TC_SEARCH_03</t>
  </si>
  <si>
    <t>Searching with no matching buyer shows 'No Records Found'</t>
  </si>
  <si>
    <t>1. Enter a search term that matches no existing buyer
2. Observe the result area</t>
  </si>
  <si>
    <t>Search: 'ZzzNonExistentBuyer123'</t>
  </si>
  <si>
    <t>An appropriate 'No Records Found' message is displayed instead of a blank list or error</t>
  </si>
  <si>
    <t>TC_SEARCH_04</t>
  </si>
  <si>
    <t>Clearing the search field restores the complete buyer list</t>
  </si>
  <si>
    <t>1. Perform a search that filters the list
2. Clear the search field completely</t>
  </si>
  <si>
    <t>Search cleared</t>
  </si>
  <si>
    <t>Full, unfiltered buyer list is restored automatically</t>
  </si>
  <si>
    <t>TC_SEARCH_05</t>
  </si>
  <si>
    <t>Search is case-insensitive</t>
  </si>
  <si>
    <t>1. Search using different letter casing (e.g., 'milton' vs 'MILTON')</t>
  </si>
  <si>
    <t>Search: 'milton', 'MILTON'</t>
  </si>
  <si>
    <t>Both searches return the same matching results regardless of case</t>
  </si>
  <si>
    <t>TC_SEARCH_06</t>
  </si>
  <si>
    <t>Search field handles special characters/injection safely</t>
  </si>
  <si>
    <t>1. Enter a script/SQL injection payload into the Search field
2. Observe system behaviour</t>
  </si>
  <si>
    <t>Search: &lt;script&gt;alert(1)&lt;/script&gt;</t>
  </si>
  <si>
    <t>Input is safely handled/sanitized; no script executes; no unhandled server error is exposed; search simply returns no matches</t>
  </si>
  <si>
    <t>TC_SEARCH_07</t>
  </si>
  <si>
    <t>Search with only whitespace is handled gracefully</t>
  </si>
  <si>
    <t>1. Enter only spaces into the Search field
2. Observe results</t>
  </si>
  <si>
    <t>Search: '   '</t>
  </si>
  <si>
    <t>System either treats it as an empty search (showing the full list) or shows 'No Records Found' consistently, not an error</t>
  </si>
  <si>
    <t>TC_SEARCH_08</t>
  </si>
  <si>
    <t>Search supports other identifiers besides buyer name (if applicable)</t>
  </si>
  <si>
    <t>1. Search using an alternate identifier (e.g., buyer registration number or email, if supported)</t>
  </si>
  <si>
    <t>Search: buyer registration number</t>
  </si>
  <si>
    <t>If the field supports searching by additional identifiers, the correct buyer is found; if name-only, this is documented as expected behaviour</t>
  </si>
  <si>
    <t>Confirm which identifiers beyond buyer name are actually searchable, per the document's 'buyer name or other supported identifier' wording</t>
  </si>
  <si>
    <t>TC_POPUP_01</t>
  </si>
  <si>
    <t>Add Buyer - Popup Behaviour</t>
  </si>
  <si>
    <t>Add Buyer' button opens the Add New Buyer popup successfully</t>
  </si>
  <si>
    <t>1. Navigate to Buyers listing
2. Click 'Add Buyer' button</t>
  </si>
  <si>
    <t>Add New Buyer popup opens successfully, displaying all expected input fields</t>
  </si>
  <si>
    <t>TC_POPUP_02</t>
  </si>
  <si>
    <t>Popup fields are correctly aligned and labeled</t>
  </si>
  <si>
    <t>1. Open the Add Buyer popup
2. Visually inspect field labels and alignment</t>
  </si>
  <si>
    <t>All labels are correctly aligned with their corresponding input fields, consistent spacing throughout</t>
  </si>
  <si>
    <t>TC_POPUP_03</t>
  </si>
  <si>
    <t>Mandatory fields are marked with an asterisk (*)</t>
  </si>
  <si>
    <t>1. Open the Add Buyer popup
2. Identify which fields show a '*' marker</t>
  </si>
  <si>
    <t>Every mandatory field (per the business rules) displays a '*' next to its label; optional fields (e.g., Trade License Number, Address Line 2) do not</t>
  </si>
  <si>
    <t>TC_POPUP_04</t>
  </si>
  <si>
    <t>Buttons (Save, Cancel) follow the application's visual theme</t>
  </si>
  <si>
    <t>1. Open the Add Buyer popup
2. Observe button styling</t>
  </si>
  <si>
    <t>Save and Cancel buttons are styled consistently with the rest of the FlexCapPro application (colors, fonts, shapes)</t>
  </si>
  <si>
    <t>TC_POPUP_05</t>
  </si>
  <si>
    <t>Error messages appear directly below the relevant field</t>
  </si>
  <si>
    <t>1. Trigger a validation error on a specific field (e.g., leave Buyer Name empty)
2. Observe where the error message appears</t>
  </si>
  <si>
    <t>Buyer Name: (empty)</t>
  </si>
  <si>
    <t>Error message appears immediately below the Buyer Name field, not in a generic banner disconnected from the field</t>
  </si>
  <si>
    <t>TC_POPUP_06</t>
  </si>
  <si>
    <t>Popup is responsive across screen sizes</t>
  </si>
  <si>
    <t>1. Open the Add Buyer popup on desktop, tablet, and mobile viewport sizes</t>
  </si>
  <si>
    <t>Popup renders correctly, remains usable, and fields are not cut off or overlapping at any tested screen size</t>
  </si>
  <si>
    <t>TC_POPUP_07</t>
  </si>
  <si>
    <t>Popup scroll bar functions correctly when content exceeds visible area</t>
  </si>
  <si>
    <t>1. Open the Add Buyer popup
2. If fields exceed the visible popup height, scroll within the popup</t>
  </si>
  <si>
    <t>Scroll bar appears and functions smoothly within the popup; all fields remain accessible via scrolling</t>
  </si>
  <si>
    <t>TC_POPUP_08</t>
  </si>
  <si>
    <t>Popup can be opened and closed repeatedly without residual data or errors</t>
  </si>
  <si>
    <t>1. Open the popup, enter some data, close without saving
2. Reopen the popup</t>
  </si>
  <si>
    <t>Partial data entered, then popup closed</t>
  </si>
  <si>
    <t>Reopened popup shows a clean, empty form (no residual data from the previous attempt) and no errors</t>
  </si>
  <si>
    <t>TC_BUYER_REGNUM_01</t>
  </si>
  <si>
    <t>Add Buyer - Field Validations</t>
  </si>
  <si>
    <t>Enter a valid value in 'Buyer Registration Number'</t>
  </si>
  <si>
    <t>1. Open Add Buyer popup
2. Enter a valid value in 'Buyer Registration Number'
3. Fill remaining mandatory fields validly
4. Click Save</t>
  </si>
  <si>
    <t>Buyer Registration Number: REG7834958</t>
  </si>
  <si>
    <t>Value is accepted; no validation error shown for 'Buyer Registration Number'; buyer is saved successfully</t>
  </si>
  <si>
    <t>TC_BUYER_REGNUM_02</t>
  </si>
  <si>
    <t>Leave 'Buyer Registration Number' empty and attempt to save</t>
  </si>
  <si>
    <t>1. Leave 'Buyer Registration Number' empty
2. Fill other fields validly
3. Click Save</t>
  </si>
  <si>
    <t>Buyer Registration Number: (empty)</t>
  </si>
  <si>
    <t>Inline validation error shown: 'Buyer Registration Number is required'; buyer is not saved</t>
  </si>
  <si>
    <t>TC_BUYER_REGNUM_03</t>
  </si>
  <si>
    <t>Enter an invalid format/characters in 'Buyer Registration Number'</t>
  </si>
  <si>
    <t>1. Enter a value not matching the expected format for 'Buyer Registration Number' (e.g., REG@#12)
2. Attempt to save</t>
  </si>
  <si>
    <t>Buyer Registration Number: REG@#12</t>
  </si>
  <si>
    <t>Validation error shown indicating the expected format; buyer is not saved with an invalid value</t>
  </si>
  <si>
    <t>TC_BUYER_REGNUM_04</t>
  </si>
  <si>
    <t>Enter a duplicate value already used by another buyer in 'Buyer Registration Number'</t>
  </si>
  <si>
    <t>1. Create Buyer A with a specific 'Buyer Registration Number' value
2. Attempt to create Buyer B with the same 'Buyer Registration Number' value
3. Click Save</t>
  </si>
  <si>
    <t>Buyer Registration Number: duplicate of Buyer A's value</t>
  </si>
  <si>
    <t>Validation error shown indicating the value is already in use / duplicate buyer creation is not allowed; Buyer B is not saved</t>
  </si>
  <si>
    <t>TC_BUYER_TLN_01</t>
  </si>
  <si>
    <t>Enter a valid value in 'Buyer Trade License Number'</t>
  </si>
  <si>
    <t>1. Open Add Buyer popup
2. Enter a valid value in 'Buyer Trade License Number'
3. Fill remaining mandatory fields validly
4. Click Save</t>
  </si>
  <si>
    <t>Buyer Trade License Number: TLN9384756</t>
  </si>
  <si>
    <t>Value is accepted; no validation error shown for 'Buyer Trade License Number'; buyer is saved successfully</t>
  </si>
  <si>
    <t>TC_BUYER_TLN_02b</t>
  </si>
  <si>
    <t>Save successfully with optional field 'Buyer Trade License Number' left empty</t>
  </si>
  <si>
    <t>1. Leave 'Buyer Trade License Number' empty (optional field)
2. Fill mandatory fields validly
3. Click Save</t>
  </si>
  <si>
    <t>Buyer Trade License Number: (empty, optional)</t>
  </si>
  <si>
    <t>Buyer is saved successfully without requiring a value for this optional field</t>
  </si>
  <si>
    <t>TC_BUYER_TLN_03</t>
  </si>
  <si>
    <t>Enter an invalid format/characters in 'Buyer Trade License Number'</t>
  </si>
  <si>
    <t>1. Enter a value not matching the expected format for 'Buyer Trade License Number' (e.g., TLN@!!)
2. Attempt to save</t>
  </si>
  <si>
    <t>Buyer Trade License Number: TLN@!!</t>
  </si>
  <si>
    <t>TC_BUYER_TLN_04</t>
  </si>
  <si>
    <t>Enter a duplicate value already used by another buyer in 'Buyer Trade License Number'</t>
  </si>
  <si>
    <t>1. Create Buyer A with a specific 'Buyer Trade License Number' value
2. Attempt to create Buyer B with the same 'Buyer Trade License Number' value
3. Click Save</t>
  </si>
  <si>
    <t>Buyer Trade License Number: duplicate of Buyer A's value</t>
  </si>
  <si>
    <t>TC_BUYER_NAME_01</t>
  </si>
  <si>
    <t>Enter a valid value in 'Buyer Name'</t>
  </si>
  <si>
    <t>1. Open Add Buyer popup
2. Enter a valid value in 'Buyer Name'
3. Fill remaining mandatory fields validly
4. Click Save</t>
  </si>
  <si>
    <t>Buyer Name: Milton Buyers LLC</t>
  </si>
  <si>
    <t>Value is accepted; no validation error shown for 'Buyer Name'; buyer is saved successfully</t>
  </si>
  <si>
    <t>TC_BUYER_NAME_02</t>
  </si>
  <si>
    <t>Leave 'Buyer Name' empty and attempt to save</t>
  </si>
  <si>
    <t>1. Open Add Buyer popup
2. Leave 'Buyer Name' empty
3. Fill other fields validly
4. Click Save</t>
  </si>
  <si>
    <t>Inline validation error shown below the field: 'Buyer Name is required'; buyer is not saved</t>
  </si>
  <si>
    <t>TC_BUYER_NAME_03</t>
  </si>
  <si>
    <t>Enter value below minimum length in 'Buyer Name' (if a minimum length applies)</t>
  </si>
  <si>
    <t>1. Enter a value shorter than the defined minimum length for 'Buyer Name'
2. Attempt to save</t>
  </si>
  <si>
    <t>Buyer Name: 'A' (1 character)</t>
  </si>
  <si>
    <t>Validation error shown indicating the minimum length requirement; buyer is not saved</t>
  </si>
  <si>
    <t>TC_BUYER_NAME_04</t>
  </si>
  <si>
    <t>Enter value exceeding maximum length in 'Buyer Name'</t>
  </si>
  <si>
    <t>1. Enter an excessively long value (e.g., 300+ characters) in 'Buyer Name'
2. Attempt to save</t>
  </si>
  <si>
    <t>Buyer Name: 300+ character string</t>
  </si>
  <si>
    <t>Field either blocks further input beyond the max length or shows a validation error; buyer is not saved with an over-length value</t>
  </si>
  <si>
    <t>TC_BUYER_NAME_05</t>
  </si>
  <si>
    <t>Enter special characters / script injection in 'Buyer Name'</t>
  </si>
  <si>
    <t>1. Enter a script/SQL injection payload in 'Buyer Name'
2. Attempt to save</t>
  </si>
  <si>
    <t>Buyer Name: &lt;script&gt;alert(1)&lt;/script&gt; / '; DROP TABLE buyers;--</t>
  </si>
  <si>
    <t>Input is sanitized/rejected as invalid; no script executes; no unhandled server error is exposed; buyer is not saved with the malicious payload</t>
  </si>
  <si>
    <t>TC_BUYER_NAME_06</t>
  </si>
  <si>
    <t>Enter leading/trailing whitespace in 'Buyer Name'</t>
  </si>
  <si>
    <t>1. Enter a value with leading/trailing spaces in 'Buyer Name' (e.g., '  Milton Buyers LLC  ')
2. Attempt to save</t>
  </si>
  <si>
    <t>Buyer Name: '  Milton Buyers LLC  '</t>
  </si>
  <si>
    <t>Whitespace is trimmed automatically before saving, or a validation error is shown consistently — behaviour should not silently save untrimmed data</t>
  </si>
  <si>
    <t>TC_BUYER_EMAIL_01</t>
  </si>
  <si>
    <t>Enter a valid, unique email address</t>
  </si>
  <si>
    <t>1. Open Add Buyer popup
2. Enter a valid, not-previously-used email
3. Fill remaining mandatory fields validly
4. Click Save</t>
  </si>
  <si>
    <t>Email: contact@miltonbuyers.com</t>
  </si>
  <si>
    <t>Email is accepted; no validation error shown; buyer is saved successfully</t>
  </si>
  <si>
    <t>TC_BUYER_EMAIL_02</t>
  </si>
  <si>
    <t>Leave Buyer Email empty and attempt to save</t>
  </si>
  <si>
    <t>1. Leave Buyer Email empty
2. Fill other fields validly
3. Click Save</t>
  </si>
  <si>
    <t>Inline validation error shown: 'Email is required'; buyer is not saved</t>
  </si>
  <si>
    <t>TC_BUYER_EMAIL_03</t>
  </si>
  <si>
    <t>Enter an invalid email format</t>
  </si>
  <si>
    <t>1. Enter a malformed email (e.g., 'buyer@', 'buyer.com', 'buyer@@test.com')
2. Attempt to save</t>
  </si>
  <si>
    <t>Email: buyer@, buyer.com</t>
  </si>
  <si>
    <t>Validation error shown: 'Enter a valid email address'; buyer is not saved</t>
  </si>
  <si>
    <t>TC_BUYER_EMAIL_04</t>
  </si>
  <si>
    <t>Enter an email that exceeds the maximum allowed length</t>
  </si>
  <si>
    <t>1. Enter an email address exceeding the defined maximum length
2. Attempt to save</t>
  </si>
  <si>
    <t>Email: 250+ character email string</t>
  </si>
  <si>
    <t>Field enforces the maximum length; validation error shown or input blocked; buyer is not saved</t>
  </si>
  <si>
    <t>TC_BUYER_EMAIL_05</t>
  </si>
  <si>
    <t>Enter an email already used by another buyer (duplicate check)</t>
  </si>
  <si>
    <t>1. Create Buyer A with Email X
2. Attempt to create Buyer B with the same Email X
3. Click Save</t>
  </si>
  <si>
    <t>Email: same as an existing buyer's email</t>
  </si>
  <si>
    <t>Validation error shown indicating the email is already registered to another buyer; Buyer B is not saved, per the business rule that buyer email must be unique</t>
  </si>
  <si>
    <t>TC_BUYER_EMAIL_06</t>
  </si>
  <si>
    <t>Email uniqueness check is case-insensitive</t>
  </si>
  <si>
    <t>1. Create Buyer A with email 'buyer@test.com'
2. Attempt to create Buyer B with email 'BUYER@TEST.COM'</t>
  </si>
  <si>
    <t>Email: same address, different case</t>
  </si>
  <si>
    <t>Duplicate is detected regardless of letter case; Buyer B is not saved</t>
  </si>
  <si>
    <t>TC_BUYER_ADDR1_01</t>
  </si>
  <si>
    <t>Enter a valid value in 'Address Line 1'</t>
  </si>
  <si>
    <t>1. Open Add Buyer popup
2. Enter a valid value in 'Address Line 1'
3. Fill remaining mandatory fields validly
4. Click Save</t>
  </si>
  <si>
    <t>Address Line 1: Warehouse 4, Jebel Ali Free Zone</t>
  </si>
  <si>
    <t>Value is accepted; no validation error shown for 'Address Line 1'; buyer is saved successfully</t>
  </si>
  <si>
    <t>TC_BUYER_ADDR1_02</t>
  </si>
  <si>
    <t>Leave 'Address Line 1' empty and attempt to save</t>
  </si>
  <si>
    <t>1. Open Add Buyer popup
2. Leave 'Address Line 1' empty
3. Fill other fields validly
4. Click Save</t>
  </si>
  <si>
    <t>Inline validation error shown below the field: 'Address Line 1 is required'; buyer is not saved</t>
  </si>
  <si>
    <t>TC_BUYER_ADDR1_03</t>
  </si>
  <si>
    <t>Enter value below minimum length in 'Address Line 1' (if a minimum length applies)</t>
  </si>
  <si>
    <t>1. Enter a value shorter than the defined minimum length for 'Address Line 1'
2. Attempt to save</t>
  </si>
  <si>
    <t>Address Line 1: 'A' (1 character)</t>
  </si>
  <si>
    <t>TC_BUYER_ADDR1_04</t>
  </si>
  <si>
    <t>1. Enter an excessively long value (e.g., 300+ characters) in 'Address Line 1'
2. Attempt to save</t>
  </si>
  <si>
    <t>TC_BUYER_ADDR1_05</t>
  </si>
  <si>
    <t>Enter special characters / script injection in 'Address Line 1'</t>
  </si>
  <si>
    <t>1. Enter a script/SQL injection payload in 'Address Line 1'
2. Attempt to save</t>
  </si>
  <si>
    <t>Address Line 1: &lt;script&gt;alert(1)&lt;/script&gt; / '; DROP TABLE buyers;--</t>
  </si>
  <si>
    <t>TC_BUYER_ADDR1_06</t>
  </si>
  <si>
    <t>Enter leading/trailing whitespace in 'Address Line 1'</t>
  </si>
  <si>
    <t>1. Enter a value with leading/trailing spaces in 'Address Line 1' (e.g., '  Warehouse 4, Jebel Ali Free Zone  ')
2. Attempt to save</t>
  </si>
  <si>
    <t>Address Line 1: '  Warehouse 4, Jebel Ali Free Zone  '</t>
  </si>
  <si>
    <t>TC_BUYER_ADDR2_01</t>
  </si>
  <si>
    <t>Enter a valid value in 'Address Line 2'</t>
  </si>
  <si>
    <t>1. Open Add Buyer popup
2. Enter a valid value in 'Address Line 2'
3. Fill remaining mandatory fields validly
4. Click Save</t>
  </si>
  <si>
    <t>Address Line 2: Near Gate 3</t>
  </si>
  <si>
    <t>Value is accepted; no validation error shown for 'Address Line 2'; buyer is saved successfully</t>
  </si>
  <si>
    <t>TC_BUYER_ADDR2_03</t>
  </si>
  <si>
    <t>Enter value below minimum length in 'Address Line 2' (if a minimum length applies)</t>
  </si>
  <si>
    <t>1. Enter a value shorter than the defined minimum length for 'Address Line 2'
2. Attempt to save</t>
  </si>
  <si>
    <t>Address Line 2: 'A' (1 character)</t>
  </si>
  <si>
    <t>TC_BUYER_ADDR2_04</t>
  </si>
  <si>
    <t>1. Enter an excessively long value (e.g., 300+ characters) in 'Address Line 2'
2. Attempt to save</t>
  </si>
  <si>
    <t>TC_BUYER_ADDR2_05</t>
  </si>
  <si>
    <t>Enter special characters / script injection in 'Address Line 2'</t>
  </si>
  <si>
    <t>1. Enter a script/SQL injection payload in 'Address Line 2'
2. Attempt to save</t>
  </si>
  <si>
    <t>Address Line 2: &lt;script&gt;alert(1)&lt;/script&gt; / '; DROP TABLE buyers;--</t>
  </si>
  <si>
    <t>TC_BUYER_ADDR2_06</t>
  </si>
  <si>
    <t>Enter leading/trailing whitespace in 'Address Line 2'</t>
  </si>
  <si>
    <t>1. Enter a value with leading/trailing spaces in 'Address Line 2' (e.g., '  Near Gate 3  ')
2. Attempt to save</t>
  </si>
  <si>
    <t>Address Line 2: '  Near Gate 3  '</t>
  </si>
  <si>
    <t>TC_BUYER_CITY_01</t>
  </si>
  <si>
    <t>Enter a valid value in 'City'</t>
  </si>
  <si>
    <t>1. Open Add Buyer popup
2. Enter a valid value in 'City'
3. Fill remaining mandatory fields validly
4. Click Save</t>
  </si>
  <si>
    <t>Value is accepted; no validation error shown for 'City'; buyer is saved successfully</t>
  </si>
  <si>
    <t>TC_BUYER_CITY_02</t>
  </si>
  <si>
    <t>Leave 'City' empty and attempt to save</t>
  </si>
  <si>
    <t>1. Open Add Buyer popup
2. Leave 'City' empty
3. Fill other fields validly
4. Click Save</t>
  </si>
  <si>
    <t>Inline validation error shown below the field: 'City is required'; buyer is not saved</t>
  </si>
  <si>
    <t>TC_BUYER_CITY_03</t>
  </si>
  <si>
    <t>Enter value below minimum length in 'City' (if a minimum length applies)</t>
  </si>
  <si>
    <t>1. Enter a value shorter than the defined minimum length for 'City'
2. Attempt to save</t>
  </si>
  <si>
    <t>City: 'A' (1 character)</t>
  </si>
  <si>
    <t>TC_BUYER_CITY_04</t>
  </si>
  <si>
    <t>1. Enter an excessively long value (e.g., 300+ characters) in 'City'
2. Attempt to save</t>
  </si>
  <si>
    <t>TC_BUYER_CITY_05</t>
  </si>
  <si>
    <t>Enter special characters / script injection in 'City'</t>
  </si>
  <si>
    <t>1. Enter a script/SQL injection payload in 'City'
2. Attempt to save</t>
  </si>
  <si>
    <t>City: &lt;script&gt;alert(1)&lt;/script&gt; / '; DROP TABLE buyers;--</t>
  </si>
  <si>
    <t>TC_BUYER_CITY_06</t>
  </si>
  <si>
    <t>Enter leading/trailing whitespace in 'City'</t>
  </si>
  <si>
    <t>1. Enter a value with leading/trailing spaces in 'City' (e.g., '  Dubai  ')
2. Attempt to save</t>
  </si>
  <si>
    <t>City: '  Dubai  '</t>
  </si>
  <si>
    <t>TC_BUYER_COUNTRY_01</t>
  </si>
  <si>
    <t>1. Click the 'Country' dropdown
2. Select a valid option
3. Click Save</t>
  </si>
  <si>
    <t>Selected value is accepted and retained; buyer is saved successfully</t>
  </si>
  <si>
    <t>TC_BUYER_COUNTRY_02</t>
  </si>
  <si>
    <t>Leave 'Country' unselected and attempt to save</t>
  </si>
  <si>
    <t>1. Leave 'Country' at its default/placeholder state
2. Click Save</t>
  </si>
  <si>
    <t>Inline validation error shown: 'Country is required'; buyer is not saved</t>
  </si>
  <si>
    <t>TC_BUYER_COUNTRY_03</t>
  </si>
  <si>
    <t>Verify 'Country' dropdown lists complete, correctly labeled options</t>
  </si>
  <si>
    <t>1. Click the 'Country' dropdown
2. Review the full list</t>
  </si>
  <si>
    <t>All expected options are present, correctly spelled, and logically ordered</t>
  </si>
  <si>
    <t>TC_BUYER_CC_01</t>
  </si>
  <si>
    <t>Select a valid option in 'Country Code' dropdown</t>
  </si>
  <si>
    <t>1. Click the 'Country Code' dropdown
2. Select a valid option
3. Click Save</t>
  </si>
  <si>
    <t>Country Code: +971</t>
  </si>
  <si>
    <t>TC_BUYER_CC_02</t>
  </si>
  <si>
    <t>Leave 'Country Code' unselected and attempt to save</t>
  </si>
  <si>
    <t>1. Leave 'Country Code' at its default/placeholder state
2. Click Save</t>
  </si>
  <si>
    <t>Country Code: (unselected)</t>
  </si>
  <si>
    <t>Inline validation error shown: 'Country Code is required'; buyer is not saved</t>
  </si>
  <si>
    <t>TC_BUYER_CC_03</t>
  </si>
  <si>
    <t>Verify 'Country Code' dropdown lists complete, correctly labeled options</t>
  </si>
  <si>
    <t>1. Click the 'Country Code' dropdown
2. Review the full list</t>
  </si>
  <si>
    <t>Country Code: full option list</t>
  </si>
  <si>
    <t>TC_BUYER_MOBILE_01</t>
  </si>
  <si>
    <t>Enter a valid mobile number matching the selected country code</t>
  </si>
  <si>
    <t>1. Select a Country Code (e.g., +971)
2. Enter a valid mobile number matching that country's expected digit length
3. Click Save</t>
  </si>
  <si>
    <t>Country Code: +971; Mobile: 501234567</t>
  </si>
  <si>
    <t>Mobile number is accepted; no validation error shown; buyer is saved successfully</t>
  </si>
  <si>
    <t>TC_BUYER_MOBILE_02</t>
  </si>
  <si>
    <t>Leave Mobile Number empty and attempt to save</t>
  </si>
  <si>
    <t>1. Leave Mobile Number empty
2. Fill other fields validly
3. Click Save</t>
  </si>
  <si>
    <t>Mobile: (empty)</t>
  </si>
  <si>
    <t>Inline validation error shown: 'Mobile Number is required'; buyer is not saved</t>
  </si>
  <si>
    <t>TC_BUYER_MOBILE_03</t>
  </si>
  <si>
    <t>Enter a mobile number with the wrong digit length for the selected country</t>
  </si>
  <si>
    <t>1. Select Country Code +971 (UAE, expects 9 digits)
2. Enter a mobile number with too few or too many digits
3. Attempt to save</t>
  </si>
  <si>
    <t>Country Code: +971; Mobile: 12345 (too short)</t>
  </si>
  <si>
    <t>Validation error shown indicating the expected digit length for the selected country; buyer is not saved</t>
  </si>
  <si>
    <t>TC_BUYER_MOBILE_04</t>
  </si>
  <si>
    <t>Enter non-numeric/invalid characters in Mobile Number</t>
  </si>
  <si>
    <t>1. Enter letters or special characters in the Mobile Number field
2. Attempt to save</t>
  </si>
  <si>
    <t>Mobile: 5012ABC67</t>
  </si>
  <si>
    <t>Field rejects non-numeric input; validation error shown or characters are not accepted at all; buyer is not saved</t>
  </si>
  <si>
    <t>TC_BUYER_MOBILE_05</t>
  </si>
  <si>
    <t>Changing Country Code re-validates the already-entered Mobile Number</t>
  </si>
  <si>
    <t>1. Select Country Code +971 and enter a valid UAE-format number
2. Change Country Code to a different country (e.g., +91)
3. Observe validation state of the mobile number</t>
  </si>
  <si>
    <t>Mobile entered for +971, Country Code changed to +91</t>
  </si>
  <si>
    <t>Mobile number is re-validated against the newly selected country's expected format; an error is shown if it no longer matches, rather than silently accepting a mismatched number</t>
  </si>
  <si>
    <t>TC_BUYER_MOBILE_06</t>
  </si>
  <si>
    <t>Mobile number exceeding maximum length for any country is rejected</t>
  </si>
  <si>
    <t>1. Enter an excessively long numeric string in Mobile Number
2. Attempt to save</t>
  </si>
  <si>
    <t>Mobile: 123456789012345</t>
  </si>
  <si>
    <t>Field enforces a sensible maximum length per country; validation error shown; buyer is not saved</t>
  </si>
  <si>
    <t>TC_BUYER_PAYDAYS_01</t>
  </si>
  <si>
    <t>Enter a valid positive number in 'Agreed Pay Days'</t>
  </si>
  <si>
    <t>1. Enter a valid positive numeric value in 'Agreed Pay Days'
2. Click Save</t>
  </si>
  <si>
    <t>Agreed Pay Days: 30</t>
  </si>
  <si>
    <t>Value is accepted; buyer is saved successfully</t>
  </si>
  <si>
    <t>TC_BUYER_PAYDAYS_02</t>
  </si>
  <si>
    <t>Leave 'Agreed Pay Days' empty and attempt to save</t>
  </si>
  <si>
    <t>1. Leave 'Agreed Pay Days' empty
2. Click Save</t>
  </si>
  <si>
    <t>Agreed Pay Days: (empty)</t>
  </si>
  <si>
    <t>Inline validation error shown: 'Agreed Pay Days is required'; buyer is not saved</t>
  </si>
  <si>
    <t>TC_BUYER_PAYDAYS_03</t>
  </si>
  <si>
    <t>Enter a negative or zero value in 'Agreed Pay Days'</t>
  </si>
  <si>
    <t>1. Enter '0' or a negative number in 'Agreed Pay Days'
2. Attempt to save</t>
  </si>
  <si>
    <t>Agreed Pay Days: -5 or 0</t>
  </si>
  <si>
    <t>Validation error shown indicating the value must be a positive number; buyer is not saved</t>
  </si>
  <si>
    <t>TC_BUYER_PAYDAYS_04</t>
  </si>
  <si>
    <t>Enter non-numeric characters in 'Agreed Pay Days'</t>
  </si>
  <si>
    <t>1. Enter letters/special characters in 'Agreed Pay Days'
2. Attempt to save</t>
  </si>
  <si>
    <t>Agreed Pay Days: abc</t>
  </si>
  <si>
    <t>Field rejects non-numeric input; buyer is not saved</t>
  </si>
  <si>
    <t>TC_BUYER_PAYDAYS_05</t>
  </si>
  <si>
    <t>Enter an unreasonably large value in 'Agreed Pay Days'</t>
  </si>
  <si>
    <t>1. Enter an unreasonably large number (e.g., 99999) in 'Agreed Pay Days'
2. Attempt to save</t>
  </si>
  <si>
    <t>Agreed Pay Days: 99999</t>
  </si>
  <si>
    <t>System either caps the value at a sensible maximum or shows a validation warning; buyer is not saved with an unreasonable value</t>
  </si>
  <si>
    <t>TC_BUYER_OTHERFIELDS_01</t>
  </si>
  <si>
    <t>Identify and validate any additional fields visible in the popup beyond the documented list</t>
  </si>
  <si>
    <t>1. Open the Add Buyer popup
2. Scroll through the entire form to identify any fields not covered in this test suite (per the document's 'Other fields visible in the recording' note)
3. Apply appropriate positive/negative validation to each</t>
  </si>
  <si>
    <t>All additional fields present in the actual popup are identified and covered with equivalent positive/negative validation test cases; none are left untested</t>
  </si>
  <si>
    <t>Could not be fully catalogued from this pass — re-review the popup directly (or a fresh recording/screenshot) to confirm the complete field list and extend this suite accordingly</t>
  </si>
  <si>
    <t>TC_SAVE_01</t>
  </si>
  <si>
    <t>Add Buyer - Buttons</t>
  </si>
  <si>
    <t>Save succeeds with all mandatory fields filled validly</t>
  </si>
  <si>
    <t>1. Fill all mandatory fields with valid data
2. Click Save</t>
  </si>
  <si>
    <t>All mandatory fields valid</t>
  </si>
  <si>
    <t>Buyer is saved successfully; a success message is shown (e.g., 'Buyer created successfully'); popup closes; buyer appears in the listing</t>
  </si>
  <si>
    <t>TC_SAVE_02</t>
  </si>
  <si>
    <t>Save is blocked when mandatory fields are incomplete</t>
  </si>
  <si>
    <t>1. Leave one or more mandatory fields empty
2. Click Save</t>
  </si>
  <si>
    <t>One mandatory field empty</t>
  </si>
  <si>
    <t>Save is blocked; validation errors are shown for each incomplete mandatory field; buyer is not created</t>
  </si>
  <si>
    <t>TC_SAVE_03</t>
  </si>
  <si>
    <t>Save shows an appropriate failure message on backend/save error</t>
  </si>
  <si>
    <t>1. Simulate a backend save failure (e.g., server error, validation conflict at DB level)
2. Attempt to save valid data</t>
  </si>
  <si>
    <t>Simulated server-side failure</t>
  </si>
  <si>
    <t>A clear failure message is shown to the user (e.g., 'Failed to save buyer. Please try again.'); no partial/corrupt record is created</t>
  </si>
  <si>
    <t>TC_SAVE_04</t>
  </si>
  <si>
    <t>Successful save correctly updates the database with all entered details</t>
  </si>
  <si>
    <t>1. Save a new buyer with specific, identifiable values in every field
2. Verify the buyer record in the database/admin view</t>
  </si>
  <si>
    <t>Distinct test values per field</t>
  </si>
  <si>
    <t>Database record accurately reflects every field entered in the popup, with no data loss or truncation</t>
  </si>
  <si>
    <t>TC_SAVE_05</t>
  </si>
  <si>
    <t>Double-clicking Save does not create duplicate buyer records</t>
  </si>
  <si>
    <t>1. Fill all mandatory fields validly
2. Click Save
3. Immediately click Save again before the first request completes</t>
  </si>
  <si>
    <t>Valid buyer data, rapid double-click</t>
  </si>
  <si>
    <t>Only one buyer record is created; the duplicate request is idempotently rejected/ignored</t>
  </si>
  <si>
    <t>TC_SAVE_06</t>
  </si>
  <si>
    <t>Network interruption during Save does not create a corrupted/partial buyer record</t>
  </si>
  <si>
    <t>1. Fill all mandatory fields validly
2. Click Save
3. Simulate a network disconnect immediately after clicking Save, before confirmation is received</t>
  </si>
  <si>
    <t>Valid buyer data, simulated network drop mid-save</t>
  </si>
  <si>
    <t>The save operation either completes fully or fails cleanly; no partial/corrupted buyer record is created; user can safely retry</t>
  </si>
  <si>
    <t>TC_CANCEL_01</t>
  </si>
  <si>
    <t>Cancel closes the popup without saving any entered data</t>
  </si>
  <si>
    <t>1. Fill in some or all fields
2. Click Cancel</t>
  </si>
  <si>
    <t>Partially or fully filled form</t>
  </si>
  <si>
    <t>Popup closes; no buyer record is created; buyer listing remains unchanged</t>
  </si>
  <si>
    <t>TC_CANCEL_02</t>
  </si>
  <si>
    <t>Cancel with unsaved changes prompts a confirmation (if applicable)</t>
  </si>
  <si>
    <t>1. Enter data into one or more fields
2. Click Cancel</t>
  </si>
  <si>
    <t>Unsaved changes present</t>
  </si>
  <si>
    <t>System either shows a confirmation prompt ('You have unsaved changes, are you sure you want to cancel?') before discarding, or clearly and consistently discards without warning — behaviour should be intentional and documented</t>
  </si>
  <si>
    <t>Confirm whether an unsaved-changes confirmation is expected/implemented, per the document's 'Unsaved Changes' consideration</t>
  </si>
  <si>
    <t>TC_CLOSE_01</t>
  </si>
  <si>
    <t>Close icon (X) closes the popup, consistent with Cancel behaviour</t>
  </si>
  <si>
    <t>1. Open the Add Buyer popup
2. Enter some data
3. Click the 'X' close icon</t>
  </si>
  <si>
    <t>Partially filled form</t>
  </si>
  <si>
    <t>Popup closes without saving, behaving consistently with the Cancel button</t>
  </si>
  <si>
    <t>TC_CLOSE_02</t>
  </si>
  <si>
    <t>Close icon with unsaved changes shows a confirmation popup (if applicable)</t>
  </si>
  <si>
    <t>1. Enter data into one or more fields
2. Click the 'X' close icon</t>
  </si>
  <si>
    <t>System either shows a confirmation popup before closing, or consistently discards without warning, matching the same behaviour as the Cancel button</t>
  </si>
  <si>
    <t>Confirm whether a confirmation popup is expected/implemented for the close icon specifically</t>
  </si>
  <si>
    <t>TC_E2E_01</t>
  </si>
  <si>
    <t>End-to-End Navigation Flow</t>
  </si>
  <si>
    <t>Complete end-to-end buyer creation flow succeeds</t>
  </si>
  <si>
    <t>1. Navigate: Dashboard -&gt; Buyers
2. Click Add Buyer
3. Enter valid buyer details in all fields
4. Click Save
5. Verify success message
6. Verify the buyer appears in the Buyer Listing</t>
  </si>
  <si>
    <t>Complete valid buyer data set</t>
  </si>
  <si>
    <t>Each step completes successfully in sequence: popup opens, data is entered and saved, a success message is shown, and the new buyer appears correctly in the listing without needing a manual page refresh</t>
  </si>
  <si>
    <t>TC_E2E_02</t>
  </si>
  <si>
    <t>Newly created buyer is immediately searchable</t>
  </si>
  <si>
    <t>1. Complete buyer creation (TC_E2E_01)
2. Immediately search for the new buyer by name in the Search field</t>
  </si>
  <si>
    <t>Newly created buyer's name</t>
  </si>
  <si>
    <t>The newly created buyer is found by search immediately, without requiring a page reload or delay</t>
  </si>
  <si>
    <t>TC_E2E_03</t>
  </si>
  <si>
    <t>Editing an existing buyer updates their information correctly</t>
  </si>
  <si>
    <t>1. Open an existing buyer's Edit action
2. Modify one or more fields (e.g., Mobile Number)
3. Save</t>
  </si>
  <si>
    <t>Updated Mobile Number</t>
  </si>
  <si>
    <t>Buyer record updates correctly with the new value; the listing reflects the updated information immediately</t>
  </si>
  <si>
    <t>TC_E2E_04</t>
  </si>
  <si>
    <t>Buyer list refreshes automatically after successful creation without manual reload</t>
  </si>
  <si>
    <t>1. Note the current buyer count
2. Create a new buyer successfully
3. Observe the listing without manually refreshing the page</t>
  </si>
  <si>
    <t>Buyer list automatically updates to include the new buyer and reflects the correct incremented count, without requiring the user to refresh the page</t>
  </si>
  <si>
    <t>TC_E2E_05</t>
  </si>
  <si>
    <t>Action buttons on a buyer row navigate to the correct related screens</t>
  </si>
  <si>
    <t>1. From the Buyer Listing, click each action icon (e.g., View Invoices, Edit) for a specific buyer</t>
  </si>
  <si>
    <t>Each action correctly navigates to or opens the intended related screen/data for that specific buyer, not a different one</t>
  </si>
  <si>
    <t>TC_BR_01</t>
  </si>
  <si>
    <t>Business Rules</t>
  </si>
  <si>
    <t>Buyer email uniqueness is enforced platform-wide</t>
  </si>
  <si>
    <t>1. Attempt to create two buyers with the same email address (even under different Buyer Names)</t>
  </si>
  <si>
    <t>Same email, different Buyer Name</t>
  </si>
  <si>
    <t>Second buyer creation is blocked with a duplicate-email validation error, regardless of other field differences</t>
  </si>
  <si>
    <t>TC_BR_02</t>
  </si>
  <si>
    <t>Mobile number validation correctly depends on the selected country</t>
  </si>
  <si>
    <t>1. Select different Country Code values (e.g., +971, +91, +1) and enter mobile numbers matching each country's expected digit format</t>
  </si>
  <si>
    <t>Country-specific valid mobile numbers</t>
  </si>
  <si>
    <t>Each mobile number is validated according to the digit-length/format rules specific to its selected country, not a single generic rule</t>
  </si>
  <si>
    <t>TC_BR_03</t>
  </si>
  <si>
    <t>All mandatory fields collectively block save when any one is blank</t>
  </si>
  <si>
    <t>1. Fill all mandatory fields except one
2. Attempt to save</t>
  </si>
  <si>
    <t>One mandatory field left blank at a time (repeat for each mandatory field)</t>
  </si>
  <si>
    <t>Save is blocked every time exactly one mandatory field is left blank, regardless of which field it is</t>
  </si>
  <si>
    <t>TC_BR_04</t>
  </si>
  <si>
    <t>Duplicate buyer creation is prevented based on the defined uniqueness rule(s)</t>
  </si>
  <si>
    <t>1. Attempt to create a buyer with the same Buyer Registration Number and/or Email as an existing buyer</t>
  </si>
  <si>
    <t>Duplicate Registration Number or Email</t>
  </si>
  <si>
    <t>System blocks the duplicate creation attempt with a clear validation error, per the business rule that duplicate buyer creation should not be allowed</t>
  </si>
  <si>
    <t>Confirm the exact uniqueness key(s) used to define a 'duplicate buyer' — email only, registration number only, or both</t>
  </si>
  <si>
    <t>TC_BR_05</t>
  </si>
  <si>
    <t>Buyer list refreshes automatically immediately after successful creation</t>
  </si>
  <si>
    <t>1. Create a new buyer successfully
2. Observe whether the listing updates without a manual refresh</t>
  </si>
  <si>
    <t>Buyer list refreshes automatically to include the new buyer immediately after the success message, consistent with TC_E2E_04</t>
  </si>
  <si>
    <t>TC_UI_01</t>
  </si>
  <si>
    <t>UI Validation</t>
  </si>
  <si>
    <t>All field labels in the Add Buyer popup are correctly aligned</t>
  </si>
  <si>
    <t>1. Open the Add Buyer popup
2. Visually inspect label-to-field alignment across all fields</t>
  </si>
  <si>
    <t>All labels are consistently aligned (e.g., left-aligned above or beside their fields) with no visual misalignment</t>
  </si>
  <si>
    <t>TC_UI_02</t>
  </si>
  <si>
    <t>Mandatory field asterisks are consistently applied</t>
  </si>
  <si>
    <t>1. Cross-check every mandatory field against the presence of a '*' marker</t>
  </si>
  <si>
    <t>Every mandatory field (and only mandatory fields) displays the '*' marker consistently</t>
  </si>
  <si>
    <t>TC_UI_03</t>
  </si>
  <si>
    <t>Input fields maintain consistent spacing throughout the popup</t>
  </si>
  <si>
    <t>1. Visually inspect the vertical/horizontal spacing between input fields</t>
  </si>
  <si>
    <t>Spacing between fields is visually consistent throughout the popup, with no cramped or excessively spaced sections</t>
  </si>
  <si>
    <t>TC_UI_04</t>
  </si>
  <si>
    <t>Error messages are visually distinct (e.g., red text) and positioned correctly</t>
  </si>
  <si>
    <t>1. Trigger multiple field validation errors simultaneously
2. Observe their styling and position</t>
  </si>
  <si>
    <t>Multiple invalid fields</t>
  </si>
  <si>
    <t>Each error message is visually distinct (e.g., red text/icon) and appears directly below its corresponding field, not overlapping other content</t>
  </si>
  <si>
    <t>TC_UI_05</t>
  </si>
  <si>
    <t>Buttons are keyboard-accessible (Tab/Enter) for accessibility</t>
  </si>
  <si>
    <t>1. Use Tab key to navigate through the popup fields and buttons
2. Use Enter/Space to activate Save/Cancel</t>
  </si>
  <si>
    <t>Keyboard-only navigation</t>
  </si>
  <si>
    <t>All fields and buttons are reachable and operable via keyboard alone, in a logical tab order</t>
  </si>
  <si>
    <t>TC_EDGE_01</t>
  </si>
  <si>
    <t>Edge Cases</t>
  </si>
  <si>
    <t>Duplicate email edge case is handled consistently across repeated attempts</t>
  </si>
  <si>
    <t>1. Attempt to create a buyer with a duplicate email 3 times in a row</t>
  </si>
  <si>
    <t>Same duplicate email, repeated attempts</t>
  </si>
  <si>
    <t>Every attempt is consistently rejected with the same duplicate-email validation error; no attempt slips through</t>
  </si>
  <si>
    <t>TC_EDGE_02</t>
  </si>
  <si>
    <t>Duplicate registration number edge case is handled consistently</t>
  </si>
  <si>
    <t>1. Attempt to create a buyer with a duplicate Buyer Registration Number</t>
  </si>
  <si>
    <t>Duplicate registration number</t>
  </si>
  <si>
    <t>Creation is blocked with a clear validation error indicating the registration number is already in use</t>
  </si>
  <si>
    <t>TC_EDGE_03</t>
  </si>
  <si>
    <t>Invalid mobile number combined with a valid country code is rejected</t>
  </si>
  <si>
    <t>1. Select a valid Country Code
2. Enter an invalid mobile number (wrong length/format for that country)</t>
  </si>
  <si>
    <t>Country Code: +971; Mobile: 12</t>
  </si>
  <si>
    <t>Validation error shown; buyer is not saved until a correctly formatted number is provided</t>
  </si>
  <si>
    <t>TC_EDGE_04</t>
  </si>
  <si>
    <t>Invalid email format is consistently rejected across variants</t>
  </si>
  <si>
    <t>1. Attempt several invalid email variants: missing '@', missing domain, double '@', trailing dot</t>
  </si>
  <si>
    <t>buyer@, buyer@@test.com, buyer@test., buyer.test.com</t>
  </si>
  <si>
    <t>Every invalid variant is consistently rejected with the same email-format validation error</t>
  </si>
  <si>
    <t>TC_EDGE_05</t>
  </si>
  <si>
    <t>All mandatory fields left empty simultaneously blocks save with all errors shown</t>
  </si>
  <si>
    <t>1. Leave every mandatory field empty
2. Click Save</t>
  </si>
  <si>
    <t>All mandatory fields empty</t>
  </si>
  <si>
    <t>Save is blocked; validation errors are shown for every empty mandatory field simultaneously, not just the first one encountered</t>
  </si>
  <si>
    <t>TC_EDGE_06</t>
  </si>
  <si>
    <t>Maximum character limits are enforced consistently across all text fields</t>
  </si>
  <si>
    <t>1. Enter an over-limit value in each text-based field one at a time (Buyer Name, Address Line 1/2, City, etc.)</t>
  </si>
  <si>
    <t>300+ character strings per field</t>
  </si>
  <si>
    <t>Each field consistently enforces its own maximum length rule; no field silently accepts unlimited input</t>
  </si>
  <si>
    <t>TC_EDGE_07</t>
  </si>
  <si>
    <t>Leading and trailing spaces across all fields are handled consistently</t>
  </si>
  <si>
    <t>1. Enter values with leading/trailing spaces in multiple fields (Buyer Name, Email, Address)
2. Save</t>
  </si>
  <si>
    <t xml:space="preserve">  Milton Buyers  ', '  test@buyer.com  '</t>
  </si>
  <si>
    <t>Whitespace is trimmed consistently across all fields before validation/saving, or uniformly flagged as invalid — not inconsistent between fields</t>
  </si>
  <si>
    <t>TC_EDGE_08</t>
  </si>
  <si>
    <t>Special characters are handled consistently across all applicable fields</t>
  </si>
  <si>
    <t>1. Enter special characters (e.g., &lt;, &gt;, ;, ', ", %) into each text field one at a time</t>
  </si>
  <si>
    <t>Special character payloads per field</t>
  </si>
  <si>
    <t>Each field consistently sanitizes or rejects disallowed special characters per its own defined rule; no field allows characters that could break rendering or storage</t>
  </si>
  <si>
    <t>TC_EDGE_09</t>
  </si>
  <si>
    <t>SQL injection attempts are blocked across all input fields</t>
  </si>
  <si>
    <t>1. Enter a SQL injection payload into each field one at a time (Buyer Name, Email, Address, etc.)
2. Attempt to save</t>
  </si>
  <si>
    <t>; DROP TABLE buyers;-- in various fields</t>
  </si>
  <si>
    <t>Input is safely parameterized/sanitized in every field; no SQL executes; no data is affected or exposed; no unhandled server error</t>
  </si>
  <si>
    <t>TC_EDGE_10</t>
  </si>
  <si>
    <t>XSS payloads are blocked/escaped across all input fields</t>
  </si>
  <si>
    <t>1. Enter an XSS payload into each field one at a time
2. Save successfully (if the field otherwise allows it) and view the buyer's details/listing</t>
  </si>
  <si>
    <t>&lt;img src=x onerror=alert(1)&gt; in various fields</t>
  </si>
  <si>
    <t>Payload is escaped/sanitized on both save and display; the script does not execute when the buyer record is viewed anywhere in the application</t>
  </si>
  <si>
    <t>TC_EDGE_11</t>
  </si>
  <si>
    <t>Network interruption during Save is handled gracefully without data corruption</t>
  </si>
  <si>
    <t>1. Fill valid buyer data
2. Click Save
3. Simulate a network drop immediately after submission</t>
  </si>
  <si>
    <t>Valid data, simulated network interruption</t>
  </si>
  <si>
    <t>No partially-saved or corrupted buyer record results; user is able to safely retry the save once connectivity is restored</t>
  </si>
  <si>
    <t>TC_SAVEDLIST_01</t>
  </si>
  <si>
    <t>Saved Reports - Listing</t>
  </si>
  <si>
    <t>Saved Reports tab displays all previously saved report configurations</t>
  </si>
  <si>
    <t>1. Navigate to Reports
2. Open the Saved Reports tab</t>
  </si>
  <si>
    <t>All previously saved reports are displayed, each as an individual report card</t>
  </si>
  <si>
    <t>Built from the functional description document — I was unable to extract confirmable frame-level detail from the recording this time, so this has not been video-verified. Please confirm exact behaviour/wording against the live app during execution.</t>
  </si>
  <si>
    <t>TC_SAVEDLIST_02</t>
  </si>
  <si>
    <t>Each report card displays all required information</t>
  </si>
  <si>
    <t>1. Open the Saved Reports tab
2. Inspect a report card</t>
  </si>
  <si>
    <t>Card displays Report Name, Selected Report Data, Business Name, Email Address, Invoice Number, any additional configured columns, a Selection Checkbox, and Action Icons</t>
  </si>
  <si>
    <t>TC_SAVEDLIST_03</t>
  </si>
  <si>
    <t>Report card accurately represents the saved report's actual configuration</t>
  </si>
  <si>
    <t>1. Save a report with specific, identifiable filter/column selections
2. Compare the resulting report card's displayed details against what was configured</t>
  </si>
  <si>
    <t>Specific report configuration</t>
  </si>
  <si>
    <t>Report card accurately reflects every configured detail with no discrepancy or missing information</t>
  </si>
  <si>
    <t>TC_SAVEDLIST_04</t>
  </si>
  <si>
    <t>Saved Reports tab displays an appropriate empty state when no reports are saved</t>
  </si>
  <si>
    <t>1. View the Saved Reports tab for a user with no saved reports</t>
  </si>
  <si>
    <t>No saved reports</t>
  </si>
  <si>
    <t>An appropriate empty-state message is shown (e.g., 'No saved reports yet') rather than a blank page or error</t>
  </si>
  <si>
    <t>TC_SAVEDLIST_05</t>
  </si>
  <si>
    <t>Saved Reports list supports a large number of saved reports without performance issues</t>
  </si>
  <si>
    <t>1. View the Saved Reports tab for a user with a large number of saved reports (e.g., 50+)</t>
  </si>
  <si>
    <t>50+ saved reports</t>
  </si>
  <si>
    <t>All report cards load correctly within an acceptable time, with pagination/scrolling functioning smoothly if applicable</t>
  </si>
  <si>
    <t>TC_SAVEDLIST_06</t>
  </si>
  <si>
    <t>Selection checkbox on each card correctly toggles selection state</t>
  </si>
  <si>
    <t>1. Click the selection checkbox on a report card</t>
  </si>
  <si>
    <t>Checkbox toggles between selected/unselected correctly; the card's visual state updates to reflect selection (e.g., highlight)</t>
  </si>
  <si>
    <t>TC_ACTION_01</t>
  </si>
  <si>
    <t>Saved Reports - Actions</t>
  </si>
  <si>
    <t>Delete Report removes the report after confirmation</t>
  </si>
  <si>
    <t>1. Click the Delete icon on a report card
2. Confirm the deletion in the confirmation prompt</t>
  </si>
  <si>
    <t>A confirmation prompt is shown before deletion; upon confirming, the report is permanently removed from the Saved Reports list</t>
  </si>
  <si>
    <t>TC_ACTION_02</t>
  </si>
  <si>
    <t>Delete Report is cancelable via the confirmation prompt</t>
  </si>
  <si>
    <t>1. Click the Delete icon on a report card
2. Click 'Cancel' or dismiss the confirmation prompt</t>
  </si>
  <si>
    <t>Report is NOT deleted; the confirmation prompt closes and the report card remains in the list unchanged</t>
  </si>
  <si>
    <t>TC_ACTION_03</t>
  </si>
  <si>
    <t>Deleting a report that has an active schedule stops all future scheduled executions</t>
  </si>
  <si>
    <t>1. Create a schedule for a saved report
2. Delete that saved report
3. Wait past the next scheduled execution time</t>
  </si>
  <si>
    <t>Scheduled report, then deleted</t>
  </si>
  <si>
    <t>No further scheduled executions occur after deletion; no email is sent for the deleted report's schedule, per the business rule that deleting a scheduled report stops all future executions</t>
  </si>
  <si>
    <t>TC_ACTION_04</t>
  </si>
  <si>
    <t>Expand/Collapse toggles the report preview correctly</t>
  </si>
  <si>
    <t>1. Click the Expand icon on a report card
2. Observe the report preview
3. Click Collapse</t>
  </si>
  <si>
    <t>Clicking Expand reveals the report preview data inside the card; clicking Collapse hides it again, without any data loss or layout break</t>
  </si>
  <si>
    <t>TC_ACTION_05</t>
  </si>
  <si>
    <t>Report Preview accurately displays the saved report's data</t>
  </si>
  <si>
    <t>1. Expand a report card's preview
2. Compare the previewed data against the actual underlying report data</t>
  </si>
  <si>
    <t>Known report data</t>
  </si>
  <si>
    <t>Preview accurately reflects the actual saved report's data, with correct columns and values</t>
  </si>
  <si>
    <t>TC_ACTION_06</t>
  </si>
  <si>
    <t>Report Preview displays an appropriate message when the underlying data is empty</t>
  </si>
  <si>
    <t>1. Expand a report card whose underlying data set is empty (e.g., no matching invoices)</t>
  </si>
  <si>
    <t>Report with zero matching records</t>
  </si>
  <si>
    <t>Preview shows an appropriate 'No Data Available' message rather than a blank or broken preview area</t>
  </si>
  <si>
    <t>TC_ACTION_07</t>
  </si>
  <si>
    <t>Multiple report cards can be expanded/collapsed independently</t>
  </si>
  <si>
    <t>1. Expand Report Card A
2. Expand Report Card B without collapsing A
3. Observe both cards</t>
  </si>
  <si>
    <t>Report Card A and B</t>
  </si>
  <si>
    <t>Both cards can be expanded simultaneously and independently; collapsing one does not affect the other's state</t>
  </si>
  <si>
    <t>TC_BULK_01</t>
  </si>
  <si>
    <t>Bulk Action</t>
  </si>
  <si>
    <t>Multiple reports can be selected for a bulk action</t>
  </si>
  <si>
    <t>1. Check the selection checkbox on 3 different report cards</t>
  </si>
  <si>
    <t>3 reports selected</t>
  </si>
  <si>
    <t>All 3 reports are correctly marked as selected; a Bulk Action option becomes available</t>
  </si>
  <si>
    <t>TC_BULK_02</t>
  </si>
  <si>
    <t>Applying a bulk action executes the operation only on selected reports</t>
  </si>
  <si>
    <t>1. Select 2 out of 5 available reports
2. Apply a supported bulk action (e.g., bulk delete)</t>
  </si>
  <si>
    <t>2 of 5 reports selected</t>
  </si>
  <si>
    <t>The bulk action is applied only to the 2 selected reports; the remaining 3 unselected reports are unaffected</t>
  </si>
  <si>
    <t>TC_BULK_03</t>
  </si>
  <si>
    <t>Bulk Action option is not available/is disabled when no reports are selected</t>
  </si>
  <si>
    <t>1. Ensure no report cards are selected
2. Attempt to access the Bulk Action option</t>
  </si>
  <si>
    <t>No reports selected</t>
  </si>
  <si>
    <t>Bulk Action option is disabled, hidden, or shows a message indicating no reports are selected; no operation can be executed</t>
  </si>
  <si>
    <t>TC_BULK_04</t>
  </si>
  <si>
    <t>Bulk action on a large number of selected reports completes without errors</t>
  </si>
  <si>
    <t>1. Select a large number of reports (e.g., 20+)
2. Apply a bulk action</t>
  </si>
  <si>
    <t>20+ reports selected</t>
  </si>
  <si>
    <t>Bulk action completes successfully for all selected reports within an acceptable time, without partial failures or errors</t>
  </si>
  <si>
    <t>TC_BULK_05</t>
  </si>
  <si>
    <t>Bulk action requires confirmation before executing a destructive operation (e.g., bulk delete)</t>
  </si>
  <si>
    <t>1. Select multiple reports
2. Attempt a bulk delete action</t>
  </si>
  <si>
    <t>Multiple reports selected, bulk delete</t>
  </si>
  <si>
    <t>A confirmation prompt is shown before the destructive bulk action executes, preventing accidental mass deletion</t>
  </si>
  <si>
    <t>TC_SELECTALL_01</t>
  </si>
  <si>
    <t>Select All</t>
  </si>
  <si>
    <t>Select All checkbox selects every report card on the current page</t>
  </si>
  <si>
    <t>1. Click the 'Select All' checkbox</t>
  </si>
  <si>
    <t>All report cards currently displayed on the page become selected simultaneously</t>
  </si>
  <si>
    <t>TC_SELECTALL_02</t>
  </si>
  <si>
    <t>Deselecting Select All deselects every report card</t>
  </si>
  <si>
    <t>1. With Select All checked, click it again to uncheck</t>
  </si>
  <si>
    <t>All previously selected report cards become deselected simultaneously</t>
  </si>
  <si>
    <t>TC_SELECTALL_03</t>
  </si>
  <si>
    <t>Select All only affects reports on the current page, not other pages (if paginated)</t>
  </si>
  <si>
    <t>1. With multiple pages of saved reports, click 'Select All' on page 1
2. Navigate to page 2</t>
  </si>
  <si>
    <t>Paginated saved reports</t>
  </si>
  <si>
    <t>Only page 1's reports are selected; page 2's reports remain unselected until explicitly selected, unless the application is documented to select across all pages</t>
  </si>
  <si>
    <t>Confirm whether Select All is scoped to current page only or across all pages, per BA/Dev</t>
  </si>
  <si>
    <t>TC_SELECTALL_04</t>
  </si>
  <si>
    <t>Manually deselecting one card after Select All updates the Select All checkbox state correctly</t>
  </si>
  <si>
    <t>1. Click Select All
2. Manually deselect one individual report card</t>
  </si>
  <si>
    <t>The Select All checkbox itself updates to reflect a partial/indeterminate selection state (or unchecks), rather than remaining fully checked</t>
  </si>
  <si>
    <t>TC_SCHEDPOPUP_01</t>
  </si>
  <si>
    <t>Schedule Report - Popup Behaviour</t>
  </si>
  <si>
    <t>Clicking the Schedule icon on a selected saved report opens the Create Schedule Report popup</t>
  </si>
  <si>
    <t>1. Select a saved report
2. Click the Schedule icon</t>
  </si>
  <si>
    <t>Create Schedule Report popup opens successfully, displaying Report Frequency, Schedule Time, Report Name, Message, and Attachment Format fields</t>
  </si>
  <si>
    <t>TC_SCHEDPOPUP_02</t>
  </si>
  <si>
    <t>Schedule icon cannot be used without first selecting a saved report</t>
  </si>
  <si>
    <t>1. Without selecting any report, attempt to click a Schedule action</t>
  </si>
  <si>
    <t>No report selected</t>
  </si>
  <si>
    <t>Schedule action is unavailable/disabled, or shows a message requiring a report to be selected first — per the business rule that a schedule cannot be created without selecting a report</t>
  </si>
  <si>
    <t>TC_SCHEDPOPUP_03</t>
  </si>
  <si>
    <t>Only saved reports can be scheduled (not unsaved/draft report configurations)</t>
  </si>
  <si>
    <t>1. Attempt to access the Schedule functionality from an unsaved/in-progress report configuration (Invoice Master tab, not yet saved)</t>
  </si>
  <si>
    <t>Unsaved report configuration</t>
  </si>
  <si>
    <t>Scheduling is not available for unsaved reports; the option only appears for reports that have been explicitly saved, per the business rule</t>
  </si>
  <si>
    <t>TC_SCHEDPOPUP_04</t>
  </si>
  <si>
    <t>Popup fields and labels are clearly presented and correctly aligned</t>
  </si>
  <si>
    <t>1. Open the Create Schedule Report popup
2. Visually inspect field labels and layout</t>
  </si>
  <si>
    <t>All fields (Frequency, Time, Name, Message, Attachment Format) are clearly labeled and properly aligned</t>
  </si>
  <si>
    <t>TC_SCHEDPOPUP_05</t>
  </si>
  <si>
    <t>Popup can be reopened cleanly after being closed without saving</t>
  </si>
  <si>
    <t>1. Open the popup, enter partial data, close without scheduling
2. Reopen the popup for the same report</t>
  </si>
  <si>
    <t>Partial data entered then discarded</t>
  </si>
  <si>
    <t>Reopened popup shows a clean, empty/default form with no residual data from the previous attempt</t>
  </si>
  <si>
    <t>TC_SCHED_FREQ_01</t>
  </si>
  <si>
    <t>Schedule Report - Field Validations</t>
  </si>
  <si>
    <t>Select a valid option for 'Report Frequency'</t>
  </si>
  <si>
    <t>1. Open Create Schedule Report popup
2. Select an option for 'Report Frequency'
3. Complete other fields
4. Click Schedule Report</t>
  </si>
  <si>
    <t>Report Frequency: Daily</t>
  </si>
  <si>
    <t>Selected option is accepted and visually highlighted; schedule is created successfully with that setting</t>
  </si>
  <si>
    <t>TC_SCHED_FREQ_02</t>
  </si>
  <si>
    <t>Only one option can be selected for 'Report Frequency' at a time</t>
  </si>
  <si>
    <t>1. Select one option for 'Report Frequency'
2. Attempt to select a second option</t>
  </si>
  <si>
    <t>Report Frequency: two options</t>
  </si>
  <si>
    <t>Selecting a new option deselects the previous one; only one remains highlighted/selected at any time</t>
  </si>
  <si>
    <t>TC_SCHED_FREQ_03</t>
  </si>
  <si>
    <t>Leave 'Report Frequency' unselected and attempt to schedule</t>
  </si>
  <si>
    <t>1. Leave 'Report Frequency' unselected
2. Complete other fields
3. Click Schedule Report</t>
  </si>
  <si>
    <t>Report Frequency: (unselected)</t>
  </si>
  <si>
    <t>Validation error shown: 'Report Frequency is required'; schedule is not created</t>
  </si>
  <si>
    <t>TC_SCHED_FREQ_04</t>
  </si>
  <si>
    <t>All documented options for 'Report Frequency' are available and correctly labeled</t>
  </si>
  <si>
    <t>1. Open the 'Report Frequency' selector
2. Review all available options</t>
  </si>
  <si>
    <t>Report Frequency: full option list</t>
  </si>
  <si>
    <t>All documented options are present, correctly labeled, and none are missing or duplicated</t>
  </si>
  <si>
    <t>TC_SCHED_TIME_01</t>
  </si>
  <si>
    <t>Select a valid Schedule Time</t>
  </si>
  <si>
    <t>1. Open the time picker for Schedule Time
2. Select a valid time
3. Complete other fields
4. Click Schedule Report</t>
  </si>
  <si>
    <t>Schedule Time: 09:00 AM</t>
  </si>
  <si>
    <t>Time is accepted; schedule is created to trigger at the selected time</t>
  </si>
  <si>
    <t>TC_SCHED_TIME_02</t>
  </si>
  <si>
    <t>Leave Schedule Time unset and attempt to schedule</t>
  </si>
  <si>
    <t>1. Leave Schedule Time unselected
2. Complete other fields
3. Click Schedule Report</t>
  </si>
  <si>
    <t>Schedule Time: (unset)</t>
  </si>
  <si>
    <t>Validation error shown: 'Schedule Time is required'; schedule is not created</t>
  </si>
  <si>
    <t>TC_SCHED_TIME_03</t>
  </si>
  <si>
    <t>Time picker only allows valid time selections</t>
  </si>
  <si>
    <t>1. Attempt to enter/select an invalid time value (e.g., '25:00' if manually typeable)</t>
  </si>
  <si>
    <t>Time: 25:00 or similar invalid value</t>
  </si>
  <si>
    <t>Time picker prevents invalid time entry entirely, or shows a validation error; only valid times (00:00-23:59 or 12-hour equivalent) can be selected</t>
  </si>
  <si>
    <t>TC_SCHED_TIME_04</t>
  </si>
  <si>
    <t>Schedule Time correctly accounts for timezone (if applicable)</t>
  </si>
  <si>
    <t>1. Set a Schedule Time
2. Verify the actual execution time against the user's expected local timezone</t>
  </si>
  <si>
    <t>Schedule Time: 09:00 AM (user's local time)</t>
  </si>
  <si>
    <t>Report executes at the correct time relative to the user's expected timezone, not silently shifted to a different timezone (e.g., server/UTC time) without indication</t>
  </si>
  <si>
    <t>Confirm which timezone the Schedule Time is interpreted in — user's local, entity's configured timezone, or UTC</t>
  </si>
  <si>
    <t>TC_SCHED_NAME_01</t>
  </si>
  <si>
    <t>Enter a valid value in 'Report Name'</t>
  </si>
  <si>
    <t>1. Open Create Schedule Report popup
2. Enter a valid value in 'Report Name'
3. Complete other mandatory fields
4. Click Schedule Report</t>
  </si>
  <si>
    <t>Report Name: Weekly Milton Buyers Report</t>
  </si>
  <si>
    <t>Value is accepted; no validation error shown; schedule is created successfully</t>
  </si>
  <si>
    <t>TC_SCHED_NAME_02</t>
  </si>
  <si>
    <t>Leave 'Report Name' empty and attempt to schedule</t>
  </si>
  <si>
    <t>1. Leave 'Report Name' empty
2. Complete other fields
3. Click Schedule Report</t>
  </si>
  <si>
    <t>Report Name: (empty)</t>
  </si>
  <si>
    <t>Validation error shown: 'Report Name is required'; schedule is not created</t>
  </si>
  <si>
    <t>TC_SCHED_NAME_03</t>
  </si>
  <si>
    <t>Enter value exceeding maximum length in 'Report Name'</t>
  </si>
  <si>
    <t>1. Enter an excessively long value (300+ characters) in 'Report Name'
2. Attempt to schedule</t>
  </si>
  <si>
    <t>Report Name: 300+ character string</t>
  </si>
  <si>
    <t>Field enforces a sensible maximum length; validation error shown or input blocked</t>
  </si>
  <si>
    <t>TC_SCHED_NAME_04</t>
  </si>
  <si>
    <t>Enter script/SQL injection payload in 'Report Name'</t>
  </si>
  <si>
    <t>1. Enter a script/SQL injection payload in 'Report Name'
2. Attempt to schedule</t>
  </si>
  <si>
    <t>Report Name: &lt;script&gt;alert(1)&lt;/script&gt;</t>
  </si>
  <si>
    <t>Input is sanitized/rejected as invalid; no script executes; no unhandled server error</t>
  </si>
  <si>
    <t>TC_SCHED_NAME_05</t>
  </si>
  <si>
    <t>Enter leading/trailing whitespace in 'Report Name'</t>
  </si>
  <si>
    <t>1. Enter '  Weekly Milton Buyers Report  ' with leading/trailing spaces
2. Attempt to schedule</t>
  </si>
  <si>
    <t>Report Name: '  Weekly Milton Buyers Report  '</t>
  </si>
  <si>
    <t>Whitespace is trimmed automatically before saving, or consistently flagged — not silently saved as-is</t>
  </si>
  <si>
    <t>TC_SCHED_NAME_06</t>
  </si>
  <si>
    <t>Report Name' is correctly displayed in the scheduled reports list after creation</t>
  </si>
  <si>
    <t>1. Create a schedule with a specific 'Report Name' value
2. View the resulting scheduled report entry</t>
  </si>
  <si>
    <t>The exact 'Report Name' value entered is displayed correctly in the scheduled reports list</t>
  </si>
  <si>
    <t>TC_SCHED_MSG_01</t>
  </si>
  <si>
    <t>Enter an optional Message and verify it is included in the scheduled email</t>
  </si>
  <si>
    <t>1. Enter a message in the Message field
2. Complete other mandatory fields
3. Click Schedule Report
4. Wait for/inspect the generated email</t>
  </si>
  <si>
    <t>Message: 'Please review this week's outstanding invoices.'</t>
  </si>
  <si>
    <t>Schedule is created successfully with the message; the generated email includes the exact message text</t>
  </si>
  <si>
    <t>TC_SCHED_MSG_02</t>
  </si>
  <si>
    <t>Leave Message empty and confirm scheduling still succeeds (field is optional)</t>
  </si>
  <si>
    <t>1. Leave the Message field empty
2. Complete other mandatory fields
3. Click Schedule Report</t>
  </si>
  <si>
    <t>Message: (empty)</t>
  </si>
  <si>
    <t>Schedule is created successfully without requiring a message, confirming the field is optional per the business rules</t>
  </si>
  <si>
    <t>TC_SCHED_MSG_03</t>
  </si>
  <si>
    <t>Message field enforces a maximum length and sanitizes injection attempts</t>
  </si>
  <si>
    <t>1. Enter an excessively long message (1000+ characters)
2. Attempt to schedule
3. Separately, enter a script/HTML injection payload in the Message field and schedule</t>
  </si>
  <si>
    <t>1000+ character message; &lt;script&gt;alert(1)&lt;/script&gt;</t>
  </si>
  <si>
    <t>Field enforces a sensible maximum length; injection payloads are sanitized/escaped so they do not execute when the email is rendered</t>
  </si>
  <si>
    <t>TC_SCHED_FORMAT_01</t>
  </si>
  <si>
    <t>Select a valid option for 'Attachment Format'</t>
  </si>
  <si>
    <t>1. Open Create Schedule Report popup
2. Select an option for 'Attachment Format'
3. Complete other fields
4. Click Schedule Report</t>
  </si>
  <si>
    <t>Attachment Format: PDF (.pdf)</t>
  </si>
  <si>
    <t>TC_SCHED_FORMAT_02</t>
  </si>
  <si>
    <t>Only one option can be selected for 'Attachment Format' at a time</t>
  </si>
  <si>
    <t>1. Select one option for 'Attachment Format'
2. Attempt to select a second option</t>
  </si>
  <si>
    <t>Attachment Format: two options</t>
  </si>
  <si>
    <t>TC_SCHED_FORMAT_03</t>
  </si>
  <si>
    <t>Leave 'Attachment Format' unselected and attempt to schedule</t>
  </si>
  <si>
    <t>1. Leave 'Attachment Format' unselected
2. Complete other fields
3. Click Schedule Report</t>
  </si>
  <si>
    <t>Attachment Format: (unselected)</t>
  </si>
  <si>
    <t>Validation error shown: 'Attachment Format is required'; schedule is not created</t>
  </si>
  <si>
    <t>TC_SCHED_FORMAT_04</t>
  </si>
  <si>
    <t>All documented options for 'Attachment Format' are available and correctly labeled</t>
  </si>
  <si>
    <t>1. Open the 'Attachment Format' selector
2. Review all available options</t>
  </si>
  <si>
    <t>Attachment Format: full option list</t>
  </si>
  <si>
    <t>TC_SCHED_FORMAT_EXT01</t>
  </si>
  <si>
    <t>Selecting PDF format generates a correctly formatted .pdf attachment</t>
  </si>
  <si>
    <t>1. Select Attachment Format = PDF
2. Complete scheduling
3. Inspect the generated email attachment</t>
  </si>
  <si>
    <t>Attachment Format: PDF</t>
  </si>
  <si>
    <t>Email attachment is a valid, correctly formatted .pdf file containing the report data</t>
  </si>
  <si>
    <t>TC_SCHED_FORMAT_EXT02</t>
  </si>
  <si>
    <t>Selecting Excel format generates a correctly formatted .xlsx attachment</t>
  </si>
  <si>
    <t>1. Select Attachment Format = Excel
2. Complete scheduling
3. Inspect the generated email attachment</t>
  </si>
  <si>
    <t>Attachment Format: Excel (.xlsx)</t>
  </si>
  <si>
    <t>Email attachment is a valid, correctly formatted .xlsx file containing the report data, openable in Excel without corruption</t>
  </si>
  <si>
    <t>TC_SCHED_FORMAT_EXT03</t>
  </si>
  <si>
    <t>Selecting CSV format generates a correctly formatted .csv attachment</t>
  </si>
  <si>
    <t>1. Select Attachment Format = CSV
2. Complete scheduling
3. Inspect the generated email attachment</t>
  </si>
  <si>
    <t>Attachment Format: CSV</t>
  </si>
  <si>
    <t>Email attachment is a valid, correctly formatted .csv file containing the report data with correct delimiters/encoding</t>
  </si>
  <si>
    <t>TC_SCHEDBTN_01</t>
  </si>
  <si>
    <t>Schedule Report - Buttons</t>
  </si>
  <si>
    <t>Schedule Report button succeeds when all mandatory fields are valid</t>
  </si>
  <si>
    <t>1. Complete Report Frequency, Schedule Time, Report Name, and Attachment Format validly
2. Click Schedule Report</t>
  </si>
  <si>
    <t>Popup closes; schedule is saved; a success confirmation is displayed; the new schedule appears in the scheduled reports list</t>
  </si>
  <si>
    <t>TC_SCHEDBTN_02</t>
  </si>
  <si>
    <t>Schedule Report button is blocked when any mandatory field is incomplete</t>
  </si>
  <si>
    <t>1. Leave one mandatory field (Frequency, Time, Name, or Attachment Format) empty/unselected
2. Click Schedule Report</t>
  </si>
  <si>
    <t>One mandatory field missing (repeat for each)</t>
  </si>
  <si>
    <t>Schedule creation is blocked; a validation error is shown for the specific missing field; no schedule is created</t>
  </si>
  <si>
    <t>TC_SCHEDBTN_03</t>
  </si>
  <si>
    <t>Cancel button closes the popup without creating a schedule</t>
  </si>
  <si>
    <t>1. Fill in some or all scheduling fields
2. Click Cancel</t>
  </si>
  <si>
    <t>Popup closes; no schedule is created; the saved report's list of schedules remains unchanged</t>
  </si>
  <si>
    <t>TC_SCHEDBTN_04</t>
  </si>
  <si>
    <t>Double-clicking Schedule Report does not create duplicate schedules</t>
  </si>
  <si>
    <t>1. Complete all mandatory fields validly
2. Click Schedule Report
3. Immediately click again before the first request completes</t>
  </si>
  <si>
    <t>Valid data, rapid double-click</t>
  </si>
  <si>
    <t>Only one schedule is created; the duplicate click is idempotently ignored</t>
  </si>
  <si>
    <t>TC_SCHEDBTN_05</t>
  </si>
  <si>
    <t>Network interruption during Schedule Report submission does not create a corrupted schedule</t>
  </si>
  <si>
    <t>1. Complete all mandatory fields validly
2. Click Schedule Report
3. Simulate a network disconnect immediately after submission</t>
  </si>
  <si>
    <t>Valid data, simulated network drop</t>
  </si>
  <si>
    <t>The schedule creation either completes fully or fails cleanly with an error; no partial/corrupted schedule is created; user can safely retry</t>
  </si>
  <si>
    <t>TC_SCHEDBTN_06</t>
  </si>
  <si>
    <t>Success confirmation message is clear and accurate</t>
  </si>
  <si>
    <t>1. Successfully create a schedule
2. Read the exact success confirmation message</t>
  </si>
  <si>
    <t>Success message clearly confirms the schedule was created (e.g., 'Report scheduled successfully') without ambiguity</t>
  </si>
  <si>
    <t>TC_EMAIL_01</t>
  </si>
  <si>
    <t>Email Generation</t>
  </si>
  <si>
    <t>Scheduled report email is generated and delivered at the configured time</t>
  </si>
  <si>
    <t>1. Create a schedule for a specific time (e.g., 2 minutes from now, for test purposes)
2. Wait for the scheduled time to pass
3. Check the configured recipient's inbox</t>
  </si>
  <si>
    <t>Schedule Time: near-future test time</t>
  </si>
  <si>
    <t>An email is generated and delivered at (or very close to) the configured scheduled time, not earlier or significantly delayed</t>
  </si>
  <si>
    <t>TC_EMAIL_02</t>
  </si>
  <si>
    <t>Generated email contains all required elements</t>
  </si>
  <si>
    <t>1. Receive a scheduled report email
2. Inspect its contents</t>
  </si>
  <si>
    <t>Email contains Report Name, Generated Date &amp; Time, the optional user Message (if provided), and the report attachment in the selected format</t>
  </si>
  <si>
    <t>TC_EMAIL_03</t>
  </si>
  <si>
    <t>Email is delivered only to the configured recipient email address</t>
  </si>
  <si>
    <t>1. Configure a schedule for a specific recipient email
2. Verify no other unintended recipients receive the email</t>
  </si>
  <si>
    <t>Configured recipient: buyer.finance@example.com</t>
  </si>
  <si>
    <t>Only the exact configured recipient address receives the email; no CC/BCC to unrelated addresses occurs</t>
  </si>
  <si>
    <t>TC_EMAIL_04</t>
  </si>
  <si>
    <t>Email is not sent if the Message field was left empty</t>
  </si>
  <si>
    <t>1. Create a schedule with the Message field left empty
2. Inspect the resulting email</t>
  </si>
  <si>
    <t>Email is still generated and sent successfully; the message section is simply omitted or blank, without breaking the email format</t>
  </si>
  <si>
    <t>TC_EMAIL_05</t>
  </si>
  <si>
    <t>Recurring schedule (Daily/Weekly/Monthly) continues to execute at each correct interval</t>
  </si>
  <si>
    <t>1. Create a Daily schedule
2. Verify an email is received each day at the configured time over several days</t>
  </si>
  <si>
    <t>Frequency: Daily</t>
  </si>
  <si>
    <t>A new email is generated and delivered at the configured time on each subsequent day, continuing until the schedule is modified or deleted</t>
  </si>
  <si>
    <t>TC_EMAIL_06</t>
  </si>
  <si>
    <t>Editing a schedule updates future executions without affecting past ones</t>
  </si>
  <si>
    <t>1. Create a schedule
2. After at least one execution, edit the schedule (e.g., change time or frequency)
3. Observe subsequent executions</t>
  </si>
  <si>
    <t>Edited schedule: new time/frequency</t>
  </si>
  <si>
    <t>Future executions follow the updated configuration; the already-delivered past email(s) are unaffected/unchanged, per the business rule</t>
  </si>
  <si>
    <t>TC_EMAIL_07</t>
  </si>
  <si>
    <t>Report generation failure does not silently skip without any indication</t>
  </si>
  <si>
    <t>1. Simulate a report generation failure at the scheduled time (e.g., underlying data source error)</t>
  </si>
  <si>
    <t>Simulated generation failure</t>
  </si>
  <si>
    <t>System either retries, logs the failure for admin visibility, or notifies the user, rather than silently failing to deliver with no trace</t>
  </si>
  <si>
    <t>Only saved reports can be scheduled</t>
  </si>
  <si>
    <t>1. Attempt to schedule a report configuration that has not been explicitly saved</t>
  </si>
  <si>
    <t>Unsaved report</t>
  </si>
  <si>
    <t>Scheduling is blocked/unavailable for unsaved reports</t>
  </si>
  <si>
    <t>A schedule cannot be created without selecting a report</t>
  </si>
  <si>
    <t>1. Attempt to access the Schedule Report popup without first selecting a saved report</t>
  </si>
  <si>
    <t>Schedule creation is blocked; user must select a report first</t>
  </si>
  <si>
    <t>All 4 mandatory scheduling fields (Frequency, Time, Name, Attachment Format) are individually enforced</t>
  </si>
  <si>
    <t>1. Leave exactly one of Report Frequency, Schedule Time, Report Name, or Attachment Format empty at a time (4 separate test runs)
2. Attempt to schedule each time</t>
  </si>
  <si>
    <t>One mandatory field missing per run</t>
  </si>
  <si>
    <t>Schedule creation is blocked every time, regardless of which single mandatory field is missing</t>
  </si>
  <si>
    <t>Reports are generated only at the exact configured schedule time</t>
  </si>
  <si>
    <t>1. Create a schedule for a specific future time
2. Verify no report is generated/sent before that time</t>
  </si>
  <si>
    <t>Schedule Time: 1 hour from now</t>
  </si>
  <si>
    <t>No premature report generation or email occurs before the configured time</t>
  </si>
  <si>
    <t>Reports are delivered strictly in the selected attachment format, not a default/fallback format</t>
  </si>
  <si>
    <t>1. Create schedules with each of the 3 attachment formats
2. Verify each generated email's attachment format matches what was selected</t>
  </si>
  <si>
    <t>PDF, Excel, CSV schedules</t>
  </si>
  <si>
    <t>Each email's attachment format exactly matches what was configured for that schedule — no silent fallback to a default format</t>
  </si>
  <si>
    <t>TC_BR_06</t>
  </si>
  <si>
    <t>Scheduled report continues executing indefinitely until modified or deleted</t>
  </si>
  <si>
    <t>1. Create a recurring schedule
2. Do not modify or delete it
3. Verify it continues executing across multiple cycles</t>
  </si>
  <si>
    <t>Recurring schedule, no changes made</t>
  </si>
  <si>
    <t>Schedule continues to execute at every configured interval indefinitely, with no unexpected automatic expiry</t>
  </si>
  <si>
    <t>Complete end-to-end schedule creation flow succeeds</t>
  </si>
  <si>
    <t>1. Navigate: Reports -&gt; Saved Reports
2. Select a saved report
3. Click Schedule icon
4. Enter all scheduling details validly
5. Click Schedule Report
6. Verify success confirmation
7. Wait for the scheduled time and verify email delivery</t>
  </si>
  <si>
    <t>Complete valid scheduling data</t>
  </si>
  <si>
    <t>Every step completes successfully in sequence: the schedule is created, confirmed, executes automatically at the configured time, and the report is emailed to the configured recipient — matching the documented Navigation Flow exactly</t>
  </si>
  <si>
    <t>Newly created schedule appears correctly in the scheduled/saved reports view</t>
  </si>
  <si>
    <t>1. Create a new schedule
2. Navigate back to the Saved Reports tab</t>
  </si>
  <si>
    <t>The report card reflects that a schedule is now active (e.g., a schedule indicator/icon state change), consistent with the newly created configuration</t>
  </si>
  <si>
    <t>Editing an existing schedule updates its configuration correctly end-to-end</t>
  </si>
  <si>
    <t>1. Open an existing schedule for editing
2. Change the Frequency and Schedule Time
3. Save the changes
4. Verify the next execution follows the new configuration</t>
  </si>
  <si>
    <t>Updated Frequency/Time</t>
  </si>
  <si>
    <t>Schedule updates correctly; the next report execution occurs per the new configuration, not the original one</t>
  </si>
  <si>
    <t>Deleting a saved report with an active schedule is handled per business rules end-to-end</t>
  </si>
  <si>
    <t>1. Create a schedule for a saved report
2. Delete the underlying saved report
3. Verify the schedule and future executions</t>
  </si>
  <si>
    <t>Scheduled report deleted</t>
  </si>
  <si>
    <t>Deleting the saved report also stops all future scheduled executions; no orphaned schedule continues to run for a deleted report</t>
  </si>
  <si>
    <t>TC-DASH-001</t>
  </si>
  <si>
    <t>Invoice &gt; Dashboard Tiles</t>
  </si>
  <si>
    <t>Verify Invoice screen loads with all 7 summary tiles</t>
  </si>
  <si>
    <t>1. Login to FlexCapPro
2. Navigate to Invoice module from left menu</t>
  </si>
  <si>
    <t>Entity: PRODUBAI AIRLINES Dubai</t>
  </si>
  <si>
    <t>All 7 tiles are displayed: Invoices Settled, Partially Settled, Offline Settled, Outstanding Invoices, Overdue Invoices, Amount Received, Pending Amount</t>
  </si>
  <si>
    <t>TC-DASH-002</t>
  </si>
  <si>
    <t>Verify 'Invoices Settled' tile is selected/highlighted by default on page load</t>
  </si>
  <si>
    <t>1. Navigate to Invoice module
2. Observe default tile state</t>
  </si>
  <si>
    <t>Invoices Settled' tile is highlighted (blue) by default and grid shows settled invoices</t>
  </si>
  <si>
    <t>TC-DASH-003</t>
  </si>
  <si>
    <t>Verify clicking 'Partially Settled' tile filters the grid</t>
  </si>
  <si>
    <t>1. Click on 'Partially Settled' tile
2. Observe grid data</t>
  </si>
  <si>
    <t>Tile count = 2</t>
  </si>
  <si>
    <t>Grid refreshes and shows only invoices with PARTIALLY SETTLED status; count matches tile value (2)</t>
  </si>
  <si>
    <t>TC-DASH-004</t>
  </si>
  <si>
    <t>Verify clicking 'Offline Settled' tile filters the grid to offline settled invoices</t>
  </si>
  <si>
    <t>1. Click on 'Offline Settled' tile
2. Observe grid data</t>
  </si>
  <si>
    <t>Tile count = 25-27</t>
  </si>
  <si>
    <t>Grid shows only OFFLINE SETTLED invoices; row count matches tile value</t>
  </si>
  <si>
    <t>TC-DASH-005</t>
  </si>
  <si>
    <t>Verify clicking 'Outstanding Invoices' tile filters the grid</t>
  </si>
  <si>
    <t>1. Click on 'Outstanding Invoices' tile
2. Observe grid data</t>
  </si>
  <si>
    <t>Tile count = 72-76</t>
  </si>
  <si>
    <t>Grid shows only invoices pending settlement; count matches tile value</t>
  </si>
  <si>
    <t>TC-DASH-006</t>
  </si>
  <si>
    <t>Verify clicking 'Overdue Invoices' tile filters the grid to overdue invoices only</t>
  </si>
  <si>
    <t>1. Click on 'Overdue Invoices' tile
2. Observe grid data and 'Invoice Over Due(days)' column</t>
  </si>
  <si>
    <t>Tile count = 34</t>
  </si>
  <si>
    <t>Grid shows only invoices with Invoice Over Due(days) &gt; 0; count matches tile value</t>
  </si>
  <si>
    <t>TC-DASH-007</t>
  </si>
  <si>
    <t>Verify 'Amount Received' and 'Pending Amount' tiles show correct aggregate totals</t>
  </si>
  <si>
    <t>1. Note 'Amount Received' and 'Pending Amount' tile values
2. Cross-check against sum of Settled Amount / Due Amount columns in grid export</t>
  </si>
  <si>
    <t>Amount Received ~10.93 M, Pending Amount ~81.35 M</t>
  </si>
  <si>
    <t>Tile values match the sum of respective columns across all invoices (within rounding)</t>
  </si>
  <si>
    <t>TC-DASH-008</t>
  </si>
  <si>
    <t>Verify tile counts refresh after an invoice status change (e.g. Withdraw)</t>
  </si>
  <si>
    <t>1. Note 'Outstanding Invoices' count
2. Withdraw one pending invoice
3. Re-check 'Outstanding Invoices' tile</t>
  </si>
  <si>
    <t>Invoice: Invoicee_0018</t>
  </si>
  <si>
    <t>Outstanding Invoices' count decreases by 1 immediately after successful withdrawal, without full page reload</t>
  </si>
  <si>
    <t>TC-DASH-009</t>
  </si>
  <si>
    <t>Verify 'Date' filter chip (e.g. 'Date: Today') scopes tiles and grid to matching invoices only</t>
  </si>
  <si>
    <t>1. Apply Date filter = Today
2. Observe tile values and grid</t>
  </si>
  <si>
    <t>Date = Today (28-Jul-2026)</t>
  </si>
  <si>
    <t>Tiles and grid recalculate to reflect only invoices dated Today; other tiles show 0 where applicable</t>
  </si>
  <si>
    <t>TC-DASH-010</t>
  </si>
  <si>
    <t>Verify removing/clearing the Date filter chip restores full (unfiltered) tile values</t>
  </si>
  <si>
    <t>1. With Date filter applied, click the 'x' / clear on 'Date: Today' chip
2. Observe tiles</t>
  </si>
  <si>
    <t>Tiles and grid revert to showing all invoices, not just today's</t>
  </si>
  <si>
    <t>TC-DASH-011</t>
  </si>
  <si>
    <t>Negative: Verify tile displays a graceful empty state (0 / empty grid) when a filtered category has no invoices</t>
  </si>
  <si>
    <t>1. Apply Date filter to a date with no invoices
2. Observe tile counts and grid</t>
  </si>
  <si>
    <t>Date = a date with no data</t>
  </si>
  <si>
    <t>Tiles display 0 without error; grid shows an empty state message instead of breaking or throwing an error</t>
  </si>
  <si>
    <t>TC-DASH-012</t>
  </si>
  <si>
    <t>Verify all tile values are non-negative and numeric</t>
  </si>
  <si>
    <t>1. Inspect each of the 7 tiles across multiple filter combinations</t>
  </si>
  <si>
    <t>No tile ever displays a negative number, NaN, undefined, or non-numeric value</t>
  </si>
  <si>
    <t>TC-DASH-013</t>
  </si>
  <si>
    <t>Verify tiles and grid do not break when switching entity via 'Change Entity'</t>
  </si>
  <si>
    <t>1. Click 'Change Entity' at bottom of sidebar
2. Select a different seller entity
3. Navigate back to Invoice module</t>
  </si>
  <si>
    <t>Entity: PRODUBAI AIRLINES Dubai -&gt; alternate entity</t>
  </si>
  <si>
    <t>Tiles and grid reload correctly scoped to the newly selected entity; no stale data or console errors</t>
  </si>
  <si>
    <t>TC-DASH-014</t>
  </si>
  <si>
    <t>Verify currency indicator (e.g. AED) displayed alongside monetary tile values is correct for the active entity</t>
  </si>
  <si>
    <t>1. Observe currency symbol/code next to Amount Received and Pending Amount tiles</t>
  </si>
  <si>
    <t>Entity currency = AED</t>
  </si>
  <si>
    <t>Correct currency code (AED) is shown consistently across all monetary tiles</t>
  </si>
  <si>
    <t>TC-GRID-001</t>
  </si>
  <si>
    <t>Invoice &gt; Grid</t>
  </si>
  <si>
    <t>Verify Invoice grid loads with default page size of 10 records</t>
  </si>
  <si>
    <t>1. Navigate to Invoice module
2. Observe grid and 'Showing X to Y of Z' label</t>
  </si>
  <si>
    <t>Grid displays 10 rows by default; label reads 'Showing 1 to 10 of &lt;total&gt;'</t>
  </si>
  <si>
    <t>TC-GRID-002</t>
  </si>
  <si>
    <t>Verify all documented grid columns are present and horizontally scrollable</t>
  </si>
  <si>
    <t>1. Scroll grid horizontally from left to right</t>
  </si>
  <si>
    <t>All columns are visible in order: Business Name, Invoice Number, Invoice Date, Invoice Due Date, Invoice Settled Date, Threshold Date, Invoice Amount, Settled Amount, Due Amount, Credit Note, Currency, Agreed Pay Days, Invoice Paid Days, Paid Within Agreed Days, Paid Within Threshold Days, Invoice Over Due(days), Payment Status, Action</t>
  </si>
  <si>
    <t>TC-GRID-003</t>
  </si>
  <si>
    <t>Verify Invoice Number is a clickable hyperlink</t>
  </si>
  <si>
    <t>1. Click on an Invoice Number link, e.g. 'Invoicee_0018'</t>
  </si>
  <si>
    <t>Invoice Number: Invoicee_0018</t>
  </si>
  <si>
    <t>Link is clickable (underlined, blue) and navigates to / opens the relevant invoice detail</t>
  </si>
  <si>
    <t>TC-GRID-004</t>
  </si>
  <si>
    <t>Verify live search filters grid as user types (positive match)</t>
  </si>
  <si>
    <t>1. Type 'PEN' in the filter box</t>
  </si>
  <si>
    <t>Search text = 'PEN'</t>
  </si>
  <si>
    <t>Grid instantly filters to invoices matching 'PEN' (e.g. PENDING status rows); 'Showing X to Y of Z' updates accordingly</t>
  </si>
  <si>
    <t>TC-GRID-005</t>
  </si>
  <si>
    <t>Verify live search for withdrawn invoices</t>
  </si>
  <si>
    <t>1. Type 'WITH' in the filter box</t>
  </si>
  <si>
    <t>Search text = 'WITH'</t>
  </si>
  <si>
    <t>Grid filters to only WITHDRAWN invoices</t>
  </si>
  <si>
    <t>TC-GRID-006</t>
  </si>
  <si>
    <t>Verify search by exact Invoice Number returns the single matching record</t>
  </si>
  <si>
    <t>1. Type a full invoice number, e.g. 'Invoicee_0017' in filter box</t>
  </si>
  <si>
    <t>Search text = 'Invoicee_0017'</t>
  </si>
  <si>
    <t>Grid shows exactly 1 row with 'Showing 1 to 1 of 1'</t>
  </si>
  <si>
    <t>TC-GRID-007</t>
  </si>
  <si>
    <t>Negative: Verify search with a non-existent value shows an empty grid gracefully</t>
  </si>
  <si>
    <t>1. Type a random/non-existent string, e.g. 'ZZZ999' in filter box</t>
  </si>
  <si>
    <t>Search text = 'ZZZ999'</t>
  </si>
  <si>
    <t>Grid shows 'Showing 0 to 0 of 0' or a 'No records found' message; no error thrown</t>
  </si>
  <si>
    <t>TC-GRID-008</t>
  </si>
  <si>
    <t>Negative: Verify search field handles special characters without breaking the UI</t>
  </si>
  <si>
    <t>1. Type special characters e.g. '@#$%^&amp;*' in the filter box</t>
  </si>
  <si>
    <t>Search text = '@#$%^&amp;*'</t>
  </si>
  <si>
    <t>Grid returns no results (or is unaffected) without any JS error, crash, or broken layout</t>
  </si>
  <si>
    <t>TC-GRID-009</t>
  </si>
  <si>
    <t>Negative: Verify search field trims leading/trailing spaces before filtering</t>
  </si>
  <si>
    <t>1. Type '   PEN   ' (with leading/trailing spaces) in the filter box</t>
  </si>
  <si>
    <t>Search text = '   PEN   '</t>
  </si>
  <si>
    <t>Grid filters the same as a plain 'PEN' search (spaces do not affect the result)</t>
  </si>
  <si>
    <t>TC-GRID-010</t>
  </si>
  <si>
    <t>Negative: Verify search field handles a very long input string without crashing</t>
  </si>
  <si>
    <t>1. Paste a 500+ character string into the filter box</t>
  </si>
  <si>
    <t>Search text = 500-char string</t>
  </si>
  <si>
    <t>Field accepts or truncates input gracefully; grid shows no results without UI break</t>
  </si>
  <si>
    <t>TC-GRID-011</t>
  </si>
  <si>
    <t>Verify pagination controls (first/previous/next/last) function correctly</t>
  </si>
  <si>
    <t>1. Click 'Next' page arrow multiple times
2. Click 'Previous'
3. Click first/last page shortcuts</t>
  </si>
  <si>
    <t>Total records &gt; 10</t>
  </si>
  <si>
    <t>Grid navigates to the correct page each time; 'Showing X to Y of Z' updates accordingly</t>
  </si>
  <si>
    <t>TC-GRID-012</t>
  </si>
  <si>
    <t>Verify 'Previous'/'First' controls are disabled on page 1 and 'Next'/'Last' disabled on the last page</t>
  </si>
  <si>
    <t>1. Navigate to page 1 and inspect Previous/First buttons
2. Navigate to the last page and inspect Next/Last buttons</t>
  </si>
  <si>
    <t>Previous/First are disabled (greyed out) on page 1; Next/Last are disabled on the final page</t>
  </si>
  <si>
    <t>TC-GRID-013</t>
  </si>
  <si>
    <t>Verify page-size dropdown changes number of rows displayed</t>
  </si>
  <si>
    <t>1. Change page size dropdown from 10 to a larger value (e.g. 25/50)</t>
  </si>
  <si>
    <t>Page size = 25</t>
  </si>
  <si>
    <t>Grid re-renders showing the selected number of rows per page; pagination count recalculates</t>
  </si>
  <si>
    <t>TC-GRID-014</t>
  </si>
  <si>
    <t>Verify Payment Status badges render with the correct color coding per status</t>
  </si>
  <si>
    <t>1. Observe badge colors for PENDING, PARTIALLY SETTLED, OFFLINE SETTLED, WITHDRAWN, REJECTED BY BUYER, DISPUTED</t>
  </si>
  <si>
    <t>PENDING = yellow, PARTIALLY SETTLED = orange, OFFLINE SETTLED = green, WITHDRAWN = grey, REJECTED BY BUYER = red, DISPUTED = blue</t>
  </si>
  <si>
    <t>TC-GRID-015</t>
  </si>
  <si>
    <t>Verify Due Amount column is correctly calculated as Invoice Amount minus Settled Amount and Credit Note</t>
  </si>
  <si>
    <t>1. Pick a sample invoice row
2. Manually compute Invoice Amount - Settled Amount - Credit Note
3. Compare with Due Amount column</t>
  </si>
  <si>
    <t>e.g. Invoice Amount 1,020, Settled 0, Credit Note 0</t>
  </si>
  <si>
    <t>Due Amount displayed equals the manually computed value (1,020)</t>
  </si>
  <si>
    <t>TC-GRID-016</t>
  </si>
  <si>
    <t>Verify Invoice Settled Date shows '-' for invoices not yet settled</t>
  </si>
  <si>
    <t>1. Locate a PENDING invoice row
2. Inspect Invoice Settled Date column</t>
  </si>
  <si>
    <t>Column displays '-' (not blank/null/undefined) for unsettled invoices</t>
  </si>
  <si>
    <t>TC-GRID-017</t>
  </si>
  <si>
    <t>Negative: Verify grid does not error out when a page is refreshed mid-filter</t>
  </si>
  <si>
    <t>1. Apply a search filter
2. Refresh the browser page</t>
  </si>
  <si>
    <t>Page reloads to the default (unfiltered) grid state without console errors</t>
  </si>
  <si>
    <t>TC-ACT-001</t>
  </si>
  <si>
    <t>Invoice &gt; Grid Actions</t>
  </si>
  <si>
    <t>Verify selecting a single row checkbox displays the bulk action toolbar</t>
  </si>
  <si>
    <t>1. Click the checkbox of any invoice row</t>
  </si>
  <si>
    <t>Bulk action toolbar appears above the grid with: Withdraw Invoice, Settle Offline, Reinstate Invoice, Send Invoice Reminder, Download</t>
  </si>
  <si>
    <t>TC-ACT-002</t>
  </si>
  <si>
    <t>Verify header checkbox selects all rows on the current page</t>
  </si>
  <si>
    <t>1. Click the header row checkbox</t>
  </si>
  <si>
    <t>All visible rows on the current page get checked; bulk toolbar appears</t>
  </si>
  <si>
    <t>TC-ACT-003</t>
  </si>
  <si>
    <t>Verify unchecking the header checkbox clears all row selections</t>
  </si>
  <si>
    <t>1. With all rows selected, click header checkbox again</t>
  </si>
  <si>
    <t>All row checkboxes are cleared and the bulk action toolbar disappears</t>
  </si>
  <si>
    <t>TC-ACT-004</t>
  </si>
  <si>
    <t>Negative: Verify bulk action toolbar is hidden when zero rows are selected</t>
  </si>
  <si>
    <t>1. Ensure no checkboxes are selected
2. Observe area above the grid</t>
  </si>
  <si>
    <t>Bulk action toolbar (Withdraw/Settle Offline/etc.) is not displayed</t>
  </si>
  <si>
    <t>TC-ACT-005</t>
  </si>
  <si>
    <t>Verify row-level 3-dot (⋮) menu displays: Withdraw Invoice, Settle Offline, Send Invoice Reminder, Credit Note, Download</t>
  </si>
  <si>
    <t>1. Click the ⋮ icon on any invoice row</t>
  </si>
  <si>
    <t>Dropdown menu opens listing all applicable actions for that invoice's current status</t>
  </si>
  <si>
    <t>TC-ACT-006</t>
  </si>
  <si>
    <t>Negative: Verify 'Withdraw Invoice' option is disabled/absent for an already-withdrawn invoice</t>
  </si>
  <si>
    <t>1. Open the ⋮ menu on a row with status = WITHDRAWN</t>
  </si>
  <si>
    <t>Status: WITHDRAWN</t>
  </si>
  <si>
    <t>Withdraw Invoice' option is not shown or is disabled for this row</t>
  </si>
  <si>
    <t>TC-ACT-007</t>
  </si>
  <si>
    <t>Negative: Verify 'Settle Offline' option is disabled/absent for a fully settled invoice</t>
  </si>
  <si>
    <t>1. Open the ⋮ menu on a row with status = OFFLINE SETTLED</t>
  </si>
  <si>
    <t>Status: OFFLINE SETTLED</t>
  </si>
  <si>
    <t>Settle Offline' option is not shown or is disabled for this row</t>
  </si>
  <si>
    <t>TC-ACT-008</t>
  </si>
  <si>
    <t>Verify Download icon on a row downloads that invoice as a PDF</t>
  </si>
  <si>
    <t>1. Click the download icon on any invoice row</t>
  </si>
  <si>
    <t>Browser downloads a PDF file corresponding to the selected invoice</t>
  </si>
  <si>
    <t>TC-ACT-009</t>
  </si>
  <si>
    <t>Verify bulk 'Download' action downloads all selected invoices</t>
  </si>
  <si>
    <t>1. Select 3 invoice rows
2. Click 'Download' in bulk toolbar</t>
  </si>
  <si>
    <t>3 rows selected</t>
  </si>
  <si>
    <t>A file (zip or combined PDF) containing all 3 selected invoices is downloaded</t>
  </si>
  <si>
    <t>TC-ACT-010</t>
  </si>
  <si>
    <t>Verify bulk 'Send Invoice Reminder' sends reminder emails for all selected invoices in one action</t>
  </si>
  <si>
    <t>1. Select multiple PENDING invoice rows
2. Click 'Send Invoice Reminder' in bulk toolbar</t>
  </si>
  <si>
    <t>3 rows selected, all PENDING</t>
  </si>
  <si>
    <t>Success dialog 'Reminder email sent successfully.' appears; no per-row confirmation needed</t>
  </si>
  <si>
    <t>TC-ACT-011</t>
  </si>
  <si>
    <t>Verify 'Reinstate Invoice' is only enabled for invoices with status WITHDRAWN</t>
  </si>
  <si>
    <t>1. Select a WITHDRAWN invoice and a PENDING invoice together
2. Observe 'Reinstate Invoice' button state</t>
  </si>
  <si>
    <t>Mixed selection: 1 WITHDRAWN + 1 PENDING</t>
  </si>
  <si>
    <t>Button behavior is consistent with business rule (either disabled for mixed selection, or applies only to eligible rows) — verify against product decision</t>
  </si>
  <si>
    <t>TC-ACT-012</t>
  </si>
  <si>
    <t>Negative: Verify attempting a bulk action with zero rows selected has no effect / button is unavailable</t>
  </si>
  <si>
    <t>1. With 0 rows checked, attempt to trigger a bulk action via keyboard shortcut or stale UI state</t>
  </si>
  <si>
    <t>No action is triggered; no modal opens since the toolbar is not rendered</t>
  </si>
  <si>
    <t>TC-ACT-013</t>
  </si>
  <si>
    <t>Verify selections persist correctly when navigating between pages is NOT expected (or is, per design) — verify actual behavior</t>
  </si>
  <si>
    <t>1. Select 2 rows on page 1
2. Navigate to page 2
3. Navigate back to page 1</t>
  </si>
  <si>
    <t>Document actual behavior: selections are cleared (most common pattern) or retained — confirm against expected design</t>
  </si>
  <si>
    <t>TC-SETL-001</t>
  </si>
  <si>
    <t>Invoice Withdrawal</t>
  </si>
  <si>
    <t>Verify Invoice Withdrawal modal displays correct invoice details</t>
  </si>
  <si>
    <t>1. Open ⋮ menu on a PENDING invoice
2. Click 'Withdraw Invoice'</t>
  </si>
  <si>
    <t>Invoice: Invoicee_0018, Amount 1,020 AED</t>
  </si>
  <si>
    <t>Modal titled 'Invoice Withdrawal' shows Buyer Name (MILTON BUYERS), Invoice Amount, Pending Amount, Invoice Date, Due Date, and Invoice Number</t>
  </si>
  <si>
    <t>TC-SETL-002</t>
  </si>
  <si>
    <t>Negative: Verify 'Withdraw Now' is blocked when no Reason Type is selected</t>
  </si>
  <si>
    <t>1. Open Invoice Withdrawal modal
2. Leave 'Select Reason Type' at default
3. Click 'Withdraw Now'</t>
  </si>
  <si>
    <t>Reason Type = -- Select Reason Type --</t>
  </si>
  <si>
    <t>Validation error is shown / button remains disabled; withdrawal is not processed</t>
  </si>
  <si>
    <t>TC-SETL-003</t>
  </si>
  <si>
    <t>Verify all Reason Type dropdown options are available and selectable</t>
  </si>
  <si>
    <t>1. Open Reason Type dropdown</t>
  </si>
  <si>
    <t>Dropdown lists: Rate dispute, Weight dispute, CASS shipment, Service not requested, Delivery not complete, Others</t>
  </si>
  <si>
    <t>TC-SETL-004</t>
  </si>
  <si>
    <t>Verify a confirmation prompt appears after clicking 'Withdraw Now' with a valid reason</t>
  </si>
  <si>
    <t>1. Select Reason Type = 'Delivery not complete'
2. Click 'Withdraw Now'</t>
  </si>
  <si>
    <t>Reason: Delivery not complete</t>
  </si>
  <si>
    <t>Confirmation prompt 'Are you sure you want to withdraw the invoice?' appears with Proceed / Cancel buttons</t>
  </si>
  <si>
    <t>TC-SETL-005</t>
  </si>
  <si>
    <t>Negative: Verify clicking 'Cancel' on the confirmation prompt aborts the withdrawal</t>
  </si>
  <si>
    <t>1. Trigger the withdrawal confirmation prompt
2. Click 'Cancel'</t>
  </si>
  <si>
    <t>Modal closes without any change; invoice status remains unchanged (e.g. PENDING)</t>
  </si>
  <si>
    <t>TC-SETL-006</t>
  </si>
  <si>
    <t>Verify clicking 'Proceed' completes the withdrawal successfully</t>
  </si>
  <si>
    <t>1. Trigger the withdrawal confirmation prompt
2. Click 'Proceed'</t>
  </si>
  <si>
    <t>Invoice status updates to WITHDRAWN; 'Outstanding Invoices' tile decreases by 1</t>
  </si>
  <si>
    <t>TC-SETL-007</t>
  </si>
  <si>
    <t>Offline Settlement</t>
  </si>
  <si>
    <t>Verify Offline Settlement modal defaults Payment Date to the current date</t>
  </si>
  <si>
    <t>1. Select a PENDING invoice
2. Click 'Settle Offline'</t>
  </si>
  <si>
    <t>Offline Settlement' modal opens with Payment Date pre-filled to today's date</t>
  </si>
  <si>
    <t>TC-SETL-008</t>
  </si>
  <si>
    <t>Negative: Verify 'Submit' is blocked when 'Reason for Offline Settlement' is left blank</t>
  </si>
  <si>
    <t>1. Open Offline Settlement modal
2. Leave Reason field empty
3. Click 'Submit'</t>
  </si>
  <si>
    <t>Reason = (blank)</t>
  </si>
  <si>
    <t>Validation error is shown; form does not submit</t>
  </si>
  <si>
    <t>TC-SETL-009</t>
  </si>
  <si>
    <t>Verify a confirmation prompt appears before finalizing the offline settlement</t>
  </si>
  <si>
    <t>1. Enter a valid reason, e.g. 'TESTING PURPOSE'
2. Click 'Submit'</t>
  </si>
  <si>
    <t>Reason: TESTING PURPOSE</t>
  </si>
  <si>
    <t>Confirmation prompt 'Are you sure you want to make Offline Settlement for the selected invoice?' appears</t>
  </si>
  <si>
    <t>TC-SETL-010</t>
  </si>
  <si>
    <t>Verify successful offline settlement updates invoice status to OFFLINE SETTLED</t>
  </si>
  <si>
    <t>1. Confirm the offline settlement prompt</t>
  </si>
  <si>
    <t>Invoice status changes to OFFLINE SETTLED; 'Offline Settled' tile increases by 1 and 'Outstanding Invoices' decreases by 1</t>
  </si>
  <si>
    <t>TC-SETL-011</t>
  </si>
  <si>
    <t>Negative: Verify Payment Date cannot be set to a future date beyond an acceptable range (business rule dependent)</t>
  </si>
  <si>
    <t>1. Open Offline Settlement modal
2. Attempt to select a future date well beyond today</t>
  </si>
  <si>
    <t>Payment Date = today + 1 year</t>
  </si>
  <si>
    <t>System either restricts date selection or flags a validation warning per business rule — confirm actual behavior</t>
  </si>
  <si>
    <t>TC-SETL-012</t>
  </si>
  <si>
    <t>Make Offline Payment</t>
  </si>
  <si>
    <t>Verify 'Select Amount to Pay' modal shows correct Total Amount and Discounted Amount</t>
  </si>
  <si>
    <t>1. Open the 'Select Amount to Pay' action on a pending invoice</t>
  </si>
  <si>
    <t>Invoice total: 1,020 AED</t>
  </si>
  <si>
    <t>Modal shows Total Amount = 1,020 AED, Discounted Amount = 0 AED (or applicable value)</t>
  </si>
  <si>
    <t>TC-SETL-013</t>
  </si>
  <si>
    <t>Verify selecting 'Due amount' radio auto-fills the full due amount</t>
  </si>
  <si>
    <t>1. In the payment modal, select 'Due amount' radio button</t>
  </si>
  <si>
    <t>Due amount = 1,020 AED</t>
  </si>
  <si>
    <t>Payable field auto-populates with 1,020 AED</t>
  </si>
  <si>
    <t>TC-SETL-014</t>
  </si>
  <si>
    <t>Verify selecting 'Partial Amount' allows custom entry within valid range</t>
  </si>
  <si>
    <t>1. Select 'Partial Amount' radio
2. Enter an amount less than Due Amount, e.g. 500</t>
  </si>
  <si>
    <t>Partial Amount = 500 (Due = 1,020)</t>
  </si>
  <si>
    <t>Field accepts the value; no error shown</t>
  </si>
  <si>
    <t>TC-SETL-015</t>
  </si>
  <si>
    <t>Negative: Verify Partial Amount greater than the Due Amount is rejected</t>
  </si>
  <si>
    <t>1. Select 'Partial Amount'
2. Enter a value greater than Due Amount, e.g. 5000 (Due = 1,020)</t>
  </si>
  <si>
    <t>Partial Amount = 5000</t>
  </si>
  <si>
    <t>Validation error is shown; payment is not accepted</t>
  </si>
  <si>
    <t>TC-SETL-016</t>
  </si>
  <si>
    <t>Negative: Verify Partial Amount of 0 or a negative value is rejected</t>
  </si>
  <si>
    <t>1. Select 'Partial Amount'
2. Enter 0 or a negative number, e.g. -100</t>
  </si>
  <si>
    <t>Partial Amount = 0 / -100</t>
  </si>
  <si>
    <t>Validation error is shown; 'Make Offline Payment' button remains disabled or submission is blocked</t>
  </si>
  <si>
    <t>TC-SETL-017</t>
  </si>
  <si>
    <t>Negative: Verify unsupported file types are rejected in the Attachment field</t>
  </si>
  <si>
    <t>1. Click 'Choose File' in Attachment field
2. Select an unsupported file type, e.g. .exe</t>
  </si>
  <si>
    <t>File: test.exe</t>
  </si>
  <si>
    <t>System rejects the file with an appropriate error message</t>
  </si>
  <si>
    <t>TC-SETL-018</t>
  </si>
  <si>
    <t>Negative: Verify 'Payment Date' is a mandatory field</t>
  </si>
  <si>
    <t>1. Leave Payment Date blank
2. Click 'Make Offline Payment'</t>
  </si>
  <si>
    <t>Payment Date = (blank)</t>
  </si>
  <si>
    <t>Validation error is shown; submission is blocked</t>
  </si>
  <si>
    <t>TC-SETL-019</t>
  </si>
  <si>
    <t>Verify clicking 'Cancel' dismisses the modal without saving</t>
  </si>
  <si>
    <t>1. Open the payment modal, fill some fields
2. Click 'Cancel'</t>
  </si>
  <si>
    <t>Modal closes; no payment record is created and invoice status is unchanged</t>
  </si>
  <si>
    <t>TC-SETL-020</t>
  </si>
  <si>
    <t>Make Credit Note</t>
  </si>
  <si>
    <t>Verify Make Credit Note modal shows Invoice Number, Total Amount, Credit Note and Due Amount</t>
  </si>
  <si>
    <t>1. Open ⋮ menu on a PENDING invoice
2. Click 'Credit Note'</t>
  </si>
  <si>
    <t>Invoice: Invoicee_0017, Total 1,020 AED</t>
  </si>
  <si>
    <t>Modal displays Invoice #Invoicee_0017, Total amount: 1,020 AED, Credit Note: 0 AED, Due amount: 1,020 AED</t>
  </si>
  <si>
    <t>TC-SETL-021</t>
  </si>
  <si>
    <t>Negative: Verify all mandatory fields are validated before submission</t>
  </si>
  <si>
    <t>1. Open Make Credit Note modal
2. Leave Customer Number, Credit Code, Credit Reference, Credit Amount, Credit Reason blank
3. Attempt to submit</t>
  </si>
  <si>
    <t>All fields = (blank)</t>
  </si>
  <si>
    <t>Validation errors are shown for each mandatory field; form does not submit</t>
  </si>
  <si>
    <t>TC-SETL-022</t>
  </si>
  <si>
    <t>Negative: Verify Credit Amount greater than Due Amount is rejected</t>
  </si>
  <si>
    <t>1. Fill valid Customer Number/Credit Code/Credit Reference
2. Enter Credit Amount greater than Due Amount, e.g. 5000 (Due = 1,020)
3. Submit</t>
  </si>
  <si>
    <t>Credit Amount = 5000, Due = 1,020</t>
  </si>
  <si>
    <t>Validation error is shown; credit note is not created</t>
  </si>
  <si>
    <t>TC-SETL-023</t>
  </si>
  <si>
    <t>Negative: Verify Credit Amount of 0 or negative is rejected</t>
  </si>
  <si>
    <t>1. Enter Credit Amount = 0 or -50
2. Submit</t>
  </si>
  <si>
    <t>Credit Amount = 0 / -50</t>
  </si>
  <si>
    <t>Validation error is shown; submission blocked</t>
  </si>
  <si>
    <t>TC-SETL-024</t>
  </si>
  <si>
    <t>Verify successful credit note submission with valid data updates invoice status</t>
  </si>
  <si>
    <t>1. Enter Customer Number = 253772
2. Enter Credit Code = HE27783
3. Enter Credit Reference = HE84893
4. Enter Credit Amount = 1020
5. Enter Credit Reason = 'TESTING PURPOSE ONLY'
6. Submit</t>
  </si>
  <si>
    <t>Customer Number: 253772, Credit Code: HE27783, Credit Reference: HE84893, Credit Amount: 1020, Reason: TESTING PURPOSE ONLY</t>
  </si>
  <si>
    <t>Credit note is applied; Payment Status updates to CREDIT NOTE / PENDING + PARTIAL CREDIT; Credit Note column reflects 1,020</t>
  </si>
  <si>
    <t>TC-SETL-025</t>
  </si>
  <si>
    <t>Verify the applied credit note is reflected in the Invoice Tracker history</t>
  </si>
  <si>
    <t>1. After submitting a credit note, open the Invoice Tracker (ⓘ) for that invoice</t>
  </si>
  <si>
    <t>Tracker history shows a new entry for the credit note event with amount and reason</t>
  </si>
  <si>
    <t>TC-TRK-001</t>
  </si>
  <si>
    <t>Invoice Tracker</t>
  </si>
  <si>
    <t>Verify clicking the Info (ⓘ) icon opens the Invoice Tracker modal</t>
  </si>
  <si>
    <t>1. Click the ⓘ icon on any invoice row</t>
  </si>
  <si>
    <t>Invoice Tracker' modal opens showing Invoice Number and Invoice Date</t>
  </si>
  <si>
    <t>TC-TRK-002</t>
  </si>
  <si>
    <t>Verify History section lists chronological status events with Reason</t>
  </si>
  <si>
    <t>1. Open Invoice Tracker for an invoice with prior activity (e.g. rejected)</t>
  </si>
  <si>
    <t>Invoice: Invoice_002 (REJECTED BY BUYER)</t>
  </si>
  <si>
    <t>History lists event(s) e.g. '1. REJECTED BY BUYER at &lt;date&gt;, &lt;time&gt;' with Amount and Reason shown</t>
  </si>
  <si>
    <t>TC-TRK-003</t>
  </si>
  <si>
    <t>Verify a freshly created invoice with no activity shows 'No history available'</t>
  </si>
  <si>
    <t>1. Create a new invoice
2. Open its Invoice Tracker immediately</t>
  </si>
  <si>
    <t>New invoice: e.g. INV0098</t>
  </si>
  <si>
    <t>Tracker displays 'No history available' instead of an empty/broken list</t>
  </si>
  <si>
    <t>TC-TRK-004</t>
  </si>
  <si>
    <t>Verify Download / report option in the tracker works</t>
  </si>
  <si>
    <t>1. Open Invoice Tracker
2. Click the Download option (if available)</t>
  </si>
  <si>
    <t>A report/document downloads successfully, or option is correctly disabled if not applicable</t>
  </si>
  <si>
    <t>TC-TRK-005</t>
  </si>
  <si>
    <t>Verify the tracker modal closes correctly via the close (X) icon</t>
  </si>
  <si>
    <t>1. Open Invoice Tracker
2. Click the 'X' close icon</t>
  </si>
  <si>
    <t>Modal closes and returns to the grid without side effects</t>
  </si>
  <si>
    <t>TC-TRK-006</t>
  </si>
  <si>
    <t>Send Invoice Reminder</t>
  </si>
  <si>
    <t>Verify Send Invoice Reminder (row-level) triggers a success confirmation</t>
  </si>
  <si>
    <t>1. Open ⋮ menu on a PENDING invoice
2. Click 'Send Invoice Reminder'</t>
  </si>
  <si>
    <t>Success dialog 'Reminder email sent successfully.' is displayed with an OK button</t>
  </si>
  <si>
    <t>TC-TRK-007</t>
  </si>
  <si>
    <t>Verify clicking OK on the reminder success dialog closes it</t>
  </si>
  <si>
    <t>1. Trigger a reminder success dialog
2. Click 'OK'</t>
  </si>
  <si>
    <t>Dialog closes and the grid remains in its prior filtered state</t>
  </si>
  <si>
    <t>TC-TRK-008</t>
  </si>
  <si>
    <t>Negative: Verify Send Invoice Reminder behavior for an already-settled invoice</t>
  </si>
  <si>
    <t>1. Attempt 'Send Invoice Reminder' on an OFFLINE SETTLED invoice</t>
  </si>
  <si>
    <t>Option is disabled/hidden for settled invoices, or system shows an appropriate message if allowed — confirm business rule</t>
  </si>
  <si>
    <t>TC-TRK-009</t>
  </si>
  <si>
    <t>Verify bulk Send Invoice Reminder works across multiple buyers in one action</t>
  </si>
  <si>
    <t>1. Select invoices belonging to different buyers
2. Click 'Send Invoice Reminder' in bulk toolbar</t>
  </si>
  <si>
    <t>Multiple buyers selected</t>
  </si>
  <si>
    <t>A single success confirmation covers all selected invoices; each buyer receives their respective reminder</t>
  </si>
  <si>
    <t>TC-EXP-001</t>
  </si>
  <si>
    <t>Invoice &gt; Export</t>
  </si>
  <si>
    <t>Verify Excel export downloads a spreadsheet of the current grid view</t>
  </si>
  <si>
    <t>1. Click the Excel export icon (green)</t>
  </si>
  <si>
    <t>.xlsx file downloads successfully containing all currently visible/filtered invoice data</t>
  </si>
  <si>
    <t>TC-EXP-002</t>
  </si>
  <si>
    <t>Verify PDF export opens the browser print dialog for the current view</t>
  </si>
  <si>
    <t>1. Click the PDF export icon (red)</t>
  </si>
  <si>
    <t>Browser's native Print dialog opens, allowing 'Save as PDF' with correct invoice content</t>
  </si>
  <si>
    <t>TC-EXP-003</t>
  </si>
  <si>
    <t>Verify export respects the currently applied search/filter</t>
  </si>
  <si>
    <t>1. Apply search filter 'PEN'
2. Click Excel export</t>
  </si>
  <si>
    <t>Exported file contains only the filtered (PENDING) records, not the entire dataset</t>
  </si>
  <si>
    <t>TC-EXP-004</t>
  </si>
  <si>
    <t>Negative: Verify export behavior when the grid has 0 records (empty filter result)</t>
  </si>
  <si>
    <t>1. Apply a filter that returns no records
2. Click Excel/PDF export</t>
  </si>
  <si>
    <t>Export produces an empty/header-only file or shows a friendly message; no crash</t>
  </si>
  <si>
    <t>TC-EXP-005</t>
  </si>
  <si>
    <t>Invoice &gt; Pagination</t>
  </si>
  <si>
    <t>Verify 'Showing X to Y of Z' label is accurate for every page</t>
  </si>
  <si>
    <t>1. Navigate through multiple pages
2. Check the label against actual row counts</t>
  </si>
  <si>
    <t>Label values always match the actual number of rows shown and total record count</t>
  </si>
  <si>
    <t>TC-EXP-006</t>
  </si>
  <si>
    <t>Verify changing the page-size dropdown recalculates total page count correctly</t>
  </si>
  <si>
    <t>1. Change page size from 10 to 50
2. Observe pagination controls</t>
  </si>
  <si>
    <t>Page size = 50</t>
  </si>
  <si>
    <t>Number of pages reduces proportionally; page 1 shows up to 50 records</t>
  </si>
  <si>
    <t>TC-EXP-007</t>
  </si>
  <si>
    <t>Negative: Verify pagination does not break when total records is less than the page size</t>
  </si>
  <si>
    <t>1. Apply a filter returning fewer than 10 records
2. Observe pagination controls</t>
  </si>
  <si>
    <t>Filtered count = 2</t>
  </si>
  <si>
    <t>Only 1 page is shown; Next/Last controls are disabled</t>
  </si>
  <si>
    <t>TC-ADD-001</t>
  </si>
  <si>
    <t>Upload/Add Invoice Chooser</t>
  </si>
  <si>
    <t>Verify 'Upload Invoice +' button opens the 'Upload / Add Invoice' dialog</t>
  </si>
  <si>
    <t>1. Click 'Upload Invoice +' at the bottom-left of the grid</t>
  </si>
  <si>
    <t>Dialog titled 'Choose how you want to add new invoices' opens with 'Bulk Invoice' and 'Single Invoice' sections</t>
  </si>
  <si>
    <t>TC-ADD-002</t>
  </si>
  <si>
    <t>Verify Bulk Invoice section shows Upload CSV, Upload PDF, and CSV &amp; PDF options</t>
  </si>
  <si>
    <t>1. Observe the 'Bulk Invoice' section of the dialog</t>
  </si>
  <si>
    <t>Three icons/options are visible: Upload CSV, Upload PDF, CSV &amp; PDF</t>
  </si>
  <si>
    <t>TC-ADD-003</t>
  </si>
  <si>
    <t>Verify 'Click here to download sample format Invoice CSV file' downloads the correct template</t>
  </si>
  <si>
    <t>1. Click the sample-format download link</t>
  </si>
  <si>
    <t>A CSV file (e.g. sample_invoice_template.csv) downloads with correct column headers for bulk upload</t>
  </si>
  <si>
    <t>TC-ADD-004</t>
  </si>
  <si>
    <t>Verify 'Create Single Invoice' opens the full 'Add Invoice' form</t>
  </si>
  <si>
    <t>1. Click 'Create Single Invoice' button</t>
  </si>
  <si>
    <t>Add Invoice' form opens with all header fields and the empty 'Add Invoice Items' line-item table</t>
  </si>
  <si>
    <t>TC-ADD-005</t>
  </si>
  <si>
    <t>Add Invoice Form</t>
  </si>
  <si>
    <t>Negative: Verify all mandatory (*) fields are validated when submitting an empty form</t>
  </si>
  <si>
    <t>1. Open Add Invoice form
2. Leave all fields blank
3. Attempt to submit</t>
  </si>
  <si>
    <t>Validation errors are displayed for every mandatory field (Buyer Business Name, Invoice Date, Payment Due Date, Currency, Select Account, Buyer TRN, Port of Origin, Final Destination, etc.); form does not submit</t>
  </si>
  <si>
    <t>TC-ADD-006</t>
  </si>
  <si>
    <t>Verify Buyer Business Name field returns matching suggestions as the user types</t>
  </si>
  <si>
    <t>1. Type 'MIL' in Buyer Business Name field</t>
  </si>
  <si>
    <t>Search text = 'MIL'</t>
  </si>
  <si>
    <t>A dropdown of matching buyers appears, e.g. 'MILTON BUYERS'</t>
  </si>
  <si>
    <t>TC-ADD-007</t>
  </si>
  <si>
    <t>Verify selecting a buyer auto-fills Buyer Unique ID and Buyer Business Email</t>
  </si>
  <si>
    <t>1. Select 'MILTON BUYERS' from the Buyer Business Name suggestions</t>
  </si>
  <si>
    <t>Buyer: MILTON BUYERS</t>
  </si>
  <si>
    <t>Buyer Unique ID auto-fills to 'PDAMB63626' and Buyer Business Email auto-fills to 'miltonbuyers@yopmail.com'</t>
  </si>
  <si>
    <t>TC-ADD-008</t>
  </si>
  <si>
    <t>Negative: Verify searching for a non-existent buyer shows no results / an appropriate message</t>
  </si>
  <si>
    <t>1. Type a random string, e.g. 'ZZZBUYER' in Buyer Business Name field</t>
  </si>
  <si>
    <t>Search text = 'ZZZBUYER'</t>
  </si>
  <si>
    <t>No matching suggestions appear; field remains unfilled with no error crash</t>
  </si>
  <si>
    <t>TC-ADD-009</t>
  </si>
  <si>
    <t>Verify Invoice Number auto-suggests once buyer/date details are filled and remains editable</t>
  </si>
  <si>
    <t>1. Fill Buyer, Invoice Date and other required fields
2. Observe Invoice Number field</t>
  </si>
  <si>
    <t>Invoice Number auto-populates (e.g. INV0098) and can still be manually edited by the user</t>
  </si>
  <si>
    <t>TC-ADD-010</t>
  </si>
  <si>
    <t>Negative: Verify submitting with a duplicate Invoice Number is rejected</t>
  </si>
  <si>
    <t>1. Manually edit Invoice Number to match an existing invoice, e.g. 'Invoicee_0018'
2. Submit the form</t>
  </si>
  <si>
    <t>Invoice Number = Invoicee_0018 (already exists)</t>
  </si>
  <si>
    <t>Validation error indicates the invoice number already exists; form does not submit</t>
  </si>
  <si>
    <t>TC-ADD-011</t>
  </si>
  <si>
    <t>Negative: Verify Payment Due Date cannot be earlier than Invoice Date</t>
  </si>
  <si>
    <t>1. Set Invoice Date = 23-07-2026
2. Set Payment Due Date = 20-07-2026 (earlier)
3. Attempt to submit</t>
  </si>
  <si>
    <t>Invoice Date: 23-07-2026, Due Date: 20-07-2026</t>
  </si>
  <si>
    <t>Validation error is shown; form does not submit until Due Date is on/after Invoice Date</t>
  </si>
  <si>
    <t>TC-ADD-012</t>
  </si>
  <si>
    <t>Verify Invoice Date and Payment Due Date calendar widgets support 'Clear' and 'Today' shortcuts</t>
  </si>
  <si>
    <t>1. Open the Invoice Date calendar
2. Click 'Today'
3. Click 'Clear'</t>
  </si>
  <si>
    <t>Today' sets the field to the current date; 'Clear' empties the field</t>
  </si>
  <si>
    <t>TC-ADD-013</t>
  </si>
  <si>
    <t>Verify Currency dropdown lists all supported currencies and updates the form on selection</t>
  </si>
  <si>
    <t>1. Open the Currency dropdown</t>
  </si>
  <si>
    <t>Dropdown lists AED – United Arab Emirates Dirham, USD – US Dollar, KWD – Kuwaiti Dinar (at minimum); selecting one updates the form context</t>
  </si>
  <si>
    <t>TC-ADD-014</t>
  </si>
  <si>
    <t>Verify Select Account dropdown lists the seller's bank accounts in 'Entity – Account No. – Bank' format</t>
  </si>
  <si>
    <t>1. Open the Select Account dropdown</t>
  </si>
  <si>
    <t>Dropdown shows entries like 'PRODUBAI AIRLINES – 74589593945943985389 – FAB BANK'</t>
  </si>
  <si>
    <t>TC-ADD-015</t>
  </si>
  <si>
    <t>Verify Supplier TRN auto-fills based on the logged-in entity and is read-only</t>
  </si>
  <si>
    <t>1. Open Add Invoice form
2. Inspect Supplier TRN field</t>
  </si>
  <si>
    <t>Expected: PR90934983894</t>
  </si>
  <si>
    <t>Field is pre-filled with the correct Supplier TRN and cannot be edited</t>
  </si>
  <si>
    <t>TC-ADD-016</t>
  </si>
  <si>
    <t>Negative: Verify Buyer TRN field rejects invalid/malformed input if a format is enforced</t>
  </si>
  <si>
    <t>1. Enter an invalid Buyer TRN, e.g. '####'
2. Attempt to submit</t>
  </si>
  <si>
    <t>Buyer TRN = '####'</t>
  </si>
  <si>
    <t>Validation error is shown if a TRN format is enforced; otherwise confirm actual business rule with BA/PM</t>
  </si>
  <si>
    <t>TC-ADD-017</t>
  </si>
  <si>
    <t>Negative: Verify Port of Origin and Final Destination are mandatory and block submission if blank</t>
  </si>
  <si>
    <t>1. Leave Port of Origin and Final Destination blank
2. Attempt to submit</t>
  </si>
  <si>
    <t>Port of Origin / Final Destination = (blank)</t>
  </si>
  <si>
    <t>Validation errors are shown for both fields; submission is blocked</t>
  </si>
  <si>
    <t>TC-ADD-018</t>
  </si>
  <si>
    <t>Verify Shipper and Consignee fields are optional and form can be submitted without them</t>
  </si>
  <si>
    <t>1. Fill all mandatory fields but leave Shipper and Consignee blank
2. Submit</t>
  </si>
  <si>
    <t>Shipper / Consignee = (blank)</t>
  </si>
  <si>
    <t>Form submits successfully without requiring Shipper/Consignee</t>
  </si>
  <si>
    <t>TC-ADD-019</t>
  </si>
  <si>
    <t>Add Invoice Items</t>
  </si>
  <si>
    <t>Negative: Verify Description field in a line item is mandatory</t>
  </si>
  <si>
    <t>1. Leave Description blank in a line item
2. Enter Rate/Qty and attempt to submit</t>
  </si>
  <si>
    <t>Description = (blank)</t>
  </si>
  <si>
    <t>Validation error is shown for the missing Description; submission is blocked</t>
  </si>
  <si>
    <t>TC-ADD-020</t>
  </si>
  <si>
    <t>Negative: Verify Rate and Qty fields only accept numeric input</t>
  </si>
  <si>
    <t>1. Enter text (e.g. 'abc') into Rate or Qty field</t>
  </si>
  <si>
    <t>Rate = 'abc'</t>
  </si>
  <si>
    <t>Field rejects non-numeric input or shows a validation error</t>
  </si>
  <si>
    <t>TC-ADD-021</t>
  </si>
  <si>
    <t>Negative: Verify negative or zero values in Rate/Qty are rejected</t>
  </si>
  <si>
    <t>1. Enter Rate = -50000 or Qty = 0</t>
  </si>
  <si>
    <t>Rate = -50000 / Qty = 0</t>
  </si>
  <si>
    <t>Validation error is shown; line item total is not computed on invalid input</t>
  </si>
  <si>
    <t>TC-ADD-022</t>
  </si>
  <si>
    <t>Verify Amount auto-calculates as Rate × Qty</t>
  </si>
  <si>
    <t>1. Enter Description = 'MOTORS', Rate = 50000, Qty = 10</t>
  </si>
  <si>
    <t>Rate 50000, Qty 10</t>
  </si>
  <si>
    <t>Amount field auto-populates to 500,000</t>
  </si>
  <si>
    <t>TC-ADD-023</t>
  </si>
  <si>
    <t>Verify Taxable auto-calculates as Amount × VAT%</t>
  </si>
  <si>
    <t>1. With Amount = 500,000, enter VAT % = 8</t>
  </si>
  <si>
    <t>Amount 500,000, VAT 8%</t>
  </si>
  <si>
    <t>Taxable field auto-populates to 40,000</t>
  </si>
  <si>
    <t>TC-ADD-024</t>
  </si>
  <si>
    <t>Verify Total auto-calculates as Amount + Taxable</t>
  </si>
  <si>
    <t>1. With Amount = 500,000 and Taxable = 40,000, observe Total</t>
  </si>
  <si>
    <t>Amount 500,000, Taxable 40,000</t>
  </si>
  <si>
    <t>Total field auto-populates to 540,000</t>
  </si>
  <si>
    <t>TC-ADD-025</t>
  </si>
  <si>
    <t>Negative: Verify VAT % field rejects values outside the valid 0-100 range</t>
  </si>
  <si>
    <t>1. Enter VAT % = 150 or -5</t>
  </si>
  <si>
    <t>VAT % = 150 / -5</t>
  </si>
  <si>
    <t>Validation error is shown; value is rejected or clamped to valid range</t>
  </si>
  <si>
    <t>TC-ADD-026</t>
  </si>
  <si>
    <t>Verify 'Add Invoice +' adds an additional line-item row</t>
  </si>
  <si>
    <t>1. Click 'Add Invoice +' below the line-items table
2. Enter Description = 'OIL', Rate = 10000, Qty = 8, VAT% = 6</t>
  </si>
  <si>
    <t>OIL, Rate 10000, Qty 8, VAT 6%</t>
  </si>
  <si>
    <t>A second row is added; Amount = 80,000, Taxable = 4,800, Total = 84,800, independently calculated from row 1</t>
  </si>
  <si>
    <t>TC-ADD-027</t>
  </si>
  <si>
    <t>Verify overall invoice total reflects the sum of all line items</t>
  </si>
  <si>
    <t>1. Add two line items (MOTORS total 540,000; OIL total 84,800)
2. Submit the form</t>
  </si>
  <si>
    <t>MOTORS 540,000 + OIL 84,800</t>
  </si>
  <si>
    <t>Created invoice's Invoice Amount equals the sum of all line totals (624,800)</t>
  </si>
  <si>
    <t>TC-ADD-028</t>
  </si>
  <si>
    <t>Verify submitting a fully valid single-invoice form creates the invoice successfully</t>
  </si>
  <si>
    <t>1. Fill all mandatory header fields and at least one valid line item
2. Click Submit</t>
  </si>
  <si>
    <t>Buyer: MILTON BUYERS, Currency: AED, Item: MOTORS 50000x10 @8% VAT</t>
  </si>
  <si>
    <t>Invoice is created (e.g. INV0098) and user is returned to the Invoice grid</t>
  </si>
  <si>
    <t>TC-ADD-029</t>
  </si>
  <si>
    <t>Verify newly created invoice appears at the top of the grid with PENDING status</t>
  </si>
  <si>
    <t>1. After successful submission, observe the Invoice grid</t>
  </si>
  <si>
    <t>New invoice: INV0098, Amount 624,800</t>
  </si>
  <si>
    <t>New row appears with Payment Status = PENDING and correct Invoice Amount</t>
  </si>
  <si>
    <t>TC-ADD-030</t>
  </si>
  <si>
    <t>Verify 'Outstanding Invoices' and 'Pending Amount' tiles update after invoice creation</t>
  </si>
  <si>
    <t>1. Note tile values before submission
2. Submit a new invoice
3. Re-check tile values</t>
  </si>
  <si>
    <t>New invoice amount: 624,800</t>
  </si>
  <si>
    <t>Outstanding Invoices' count increases by 1; 'Pending Amount' increases by the new invoice's due amount</t>
  </si>
  <si>
    <t>TC-BULK-001</t>
  </si>
  <si>
    <t>Bulk Upload</t>
  </si>
  <si>
    <t>Verify the drag-and-drop area accepts a valid CSV file</t>
  </si>
  <si>
    <t>1. From Bulk Invoice section, drag and drop a valid CSV file (or use file picker)</t>
  </si>
  <si>
    <t>File: sample_invoice_template.csv</t>
  </si>
  <si>
    <t>File uploads and a progress bar advances to 100%, showing file name, size, and type (CSV Document)</t>
  </si>
  <si>
    <t>TC-BULK-002</t>
  </si>
  <si>
    <t>Negative: Verify files larger than 10 MB are rejected</t>
  </si>
  <si>
    <t>1. Attempt to upload a file larger than 10 MB</t>
  </si>
  <si>
    <t>File size: 15 MB</t>
  </si>
  <si>
    <t>Upload is rejected with a 'Maximum file size: 10 MB' error message</t>
  </si>
  <si>
    <t>TC-BULK-003</t>
  </si>
  <si>
    <t>Negative: Verify unsupported file formats are rejected</t>
  </si>
  <si>
    <t>1. Attempt to upload a file with an unsupported extension, e.g. .txt or .exe</t>
  </si>
  <si>
    <t>File: data.txt</t>
  </si>
  <si>
    <t>Upload is rejected with an appropriate file-type error message</t>
  </si>
  <si>
    <t>TC-BULK-004</t>
  </si>
  <si>
    <t>Verify 'Cancel Upload' removes the currently selected file before validation</t>
  </si>
  <si>
    <t>1. Upload a valid CSV
2. Click 'Cancel Upload' before clicking Validate</t>
  </si>
  <si>
    <t>Selected file is removed and the drag-and-drop area resets to its initial state</t>
  </si>
  <si>
    <t>TC-BULK-005</t>
  </si>
  <si>
    <t>Verify 'Validate Invoice' processes a valid file and shows the Preview Uploaded Invoices screen</t>
  </si>
  <si>
    <t>1. Upload sample_invoice_template.csv
2. Click 'Validate Invoice'</t>
  </si>
  <si>
    <t>File: sample_invoice_template.csv (20 rows)</t>
  </si>
  <si>
    <t>Preview Uploaded Invoices' screen shows TOTAL INVOICES = 20 and PROCESSED SUCCESSFULLY = 20</t>
  </si>
  <si>
    <t>TC-BULK-006</t>
  </si>
  <si>
    <t>Negative: Verify a CSV with missing mandatory columns/values shows failed record count</t>
  </si>
  <si>
    <t>1. Upload a CSV with missing mandatory fields (e.g. blank Buyer Business Name in some rows)
2. Click 'Validate Invoice'</t>
  </si>
  <si>
    <t>File with intentionally blank required fields</t>
  </si>
  <si>
    <t>PROCESSED SUCCESSFULLY count is less than TOTAL INVOICES; failed rows are flagged with a reason</t>
  </si>
  <si>
    <t>TC-BULK-007</t>
  </si>
  <si>
    <t>Negative: Verify a completely malformed/corrupt CSV file is handled gracefully</t>
  </si>
  <si>
    <t>1. Upload a corrupted or non-CSV-structured file renamed to .csv</t>
  </si>
  <si>
    <t>File: corrupt.csv</t>
  </si>
  <si>
    <t>System shows a clear error message instead of crashing or hanging on Validate</t>
  </si>
  <si>
    <t>TC-BULK-008</t>
  </si>
  <si>
    <t>Verify the Preview table correctly displays parsed buyer/invoice details per row</t>
  </si>
  <si>
    <t>1. After successful validation, inspect the Preview Uploaded Invoices table rows</t>
  </si>
  <si>
    <t>Each row shows correct Business Name, Invoice Number, Invoice Date, Buyer Unique ID, Buyer Business Email, and Due Date matching the source CSV</t>
  </si>
  <si>
    <t>TC-BULK-009</t>
  </si>
  <si>
    <t>Verify 'Generate All Invoices' commits the previewed batch</t>
  </si>
  <si>
    <t>1. From the Preview screen, click 'Generate All Invoices'</t>
  </si>
  <si>
    <t>20 previewed invoices</t>
  </si>
  <si>
    <t>A success dialog 'Invoice generated successfully' appears with 'Back to Dashboard' and 'View Generated Invoice' options</t>
  </si>
  <si>
    <t>TC-BULK-010</t>
  </si>
  <si>
    <t>Verify 'Preview Generated Invoices' lists Payment Link Token, Account Number, Payable Amount, and Tax Amount for each invoice</t>
  </si>
  <si>
    <t>1. Click 'View Generated Invoice' after generation</t>
  </si>
  <si>
    <t>Table shows correct Buyer, Payment Link Token, Account Number, Payable Amount, and Tax Amount per generated invoice</t>
  </si>
  <si>
    <t>TC-BULK-011</t>
  </si>
  <si>
    <t>Verify success banner text and eye icon are shown for each successfully generated invoice</t>
  </si>
  <si>
    <t>1. Review the Preview Generated Invoices screen</t>
  </si>
  <si>
    <t>Banner reads 'Invoice generated successfully with the payment link appended. Click the eye icon to view.'; eye icon is present per row</t>
  </si>
  <si>
    <t>TC-BULK-012</t>
  </si>
  <si>
    <t>Verify clicking the eye icon opens a correctly formatted Tax Invoice PDF</t>
  </si>
  <si>
    <t>1. Click the eye icon on a generated invoice row</t>
  </si>
  <si>
    <t>Invoice: Invoicee_0003</t>
  </si>
  <si>
    <t>PDF opens showing Invoice No. &amp; Date, Beneficiary name &amp; account number, Customer TRN, Beneficiary's Bank, Reference, IBAN, itemized table, VAT total, and grand Total in words/figures</t>
  </si>
  <si>
    <t>TC-BULK-013</t>
  </si>
  <si>
    <t>Verify all newly generated invoices appear in the main Invoice grid with PENDING status</t>
  </si>
  <si>
    <t>1. Navigate back to the main Invoice grid after generation</t>
  </si>
  <si>
    <t>20 generated invoices</t>
  </si>
  <si>
    <t>All 20 invoices are visible in the grid with Payment Status = PENDING and correct Invoice Amount</t>
  </si>
  <si>
    <t>TC-BULK-014</t>
  </si>
  <si>
    <t>Negative: Verify Failed Reason column is populated for any rows that failed generation</t>
  </si>
  <si>
    <t>1. Upload a CSV containing at least one intentionally invalid row
2. Proceed through Validate → Generate</t>
  </si>
  <si>
    <t>Mixed valid/invalid rows</t>
  </si>
  <si>
    <t>Failed rows show a specific Failed Reason (e.g. 'Invalid Buyer TRN'); valid rows still generate successfully</t>
  </si>
  <si>
    <t>TC-BULK-015</t>
  </si>
  <si>
    <t>Negative: Verify re-uploading the exact same file does not silently create duplicate invoices</t>
  </si>
  <si>
    <t>1. Upload and generate invoices from a CSV
2. Re-upload the identical CSV and generate again</t>
  </si>
  <si>
    <t>Same file uploaded twice</t>
  </si>
  <si>
    <t>System either blocks duplicate invoice numbers with an error, or generates them as new invoices per business rule — confirm expected behavior with BA/PM</t>
  </si>
  <si>
    <t>TC-BULK-016</t>
  </si>
  <si>
    <t>Verify 'Back to Dashboard' from the success dialog returns to the Invoice grid without errors</t>
  </si>
  <si>
    <t>1. After generation, click 'Back to Dashboard' instead of 'View Generated Invoice'</t>
  </si>
  <si>
    <t>User is navigated back to the Invoice grid/dashboard; generated invoices are present in the grid</t>
  </si>
  <si>
    <t>TC_GRID_01</t>
  </si>
  <si>
    <t>User List Grid</t>
  </si>
  <si>
    <t>User List grid displays all documented columns</t>
  </si>
  <si>
    <t>1. Navigate to Admin module
2. Observe the User List grid</t>
  </si>
  <si>
    <t>Grid displays User Name, Email Address, Assigned Entity, Assigned Roles, Status, and Action columns for every admin user</t>
  </si>
  <si>
    <t>TC_GRID_02</t>
  </si>
  <si>
    <t>Assigned Entity column correctly displays multiple entities for a multi-entity admin</t>
  </si>
  <si>
    <t>1. Locate an admin assigned to more than one entity
2. Observe the Assigned Entity column</t>
  </si>
  <si>
    <t>Admin assigned to 2 entities</t>
  </si>
  <si>
    <t>Both entity assignments are listed (e.g., 'PRODUBAI AIRLINES - Dubai, PRODUBAI AIRLINES - Dubai' shown as a list)</t>
  </si>
  <si>
    <t>TC_GRID_03</t>
  </si>
  <si>
    <t>Status column accurately reflects each admin's Active/Inactive state</t>
  </si>
  <si>
    <t>1. Compare an Active admin and an Inactive admin's Status display</t>
  </si>
  <si>
    <t>Mixed Active/Inactive admins</t>
  </si>
  <si>
    <t>Status column/badge accurately shows 'Active' or 'Inactive' matching each admin's actual state</t>
  </si>
  <si>
    <t>This is standard QA validation logic inferred from typical field behaviour — the document explicitly notes this was NOT directly shown in the recording (no error/edge-case scenarios were demonstrated). Confirm exact behaviour/wording against the live app during execution.</t>
  </si>
  <si>
    <t>TC_GRID_04</t>
  </si>
  <si>
    <t>Page-size dropdown and 'Showing X to Y of Z entries' counter work correctly</t>
  </si>
  <si>
    <t>1. Change the page-size dropdown (default 10) to a different value
2. Observe the grid and counter</t>
  </si>
  <si>
    <t>Page size: 10 -&gt; 25</t>
  </si>
  <si>
    <t>Grid displays the selected number of rows per page; the 'Showing X to Y of Z entries' counter updates accurately</t>
  </si>
  <si>
    <t>TC_GRID_05</t>
  </si>
  <si>
    <t>Pagination correctly navigates between pages of admin users</t>
  </si>
  <si>
    <t>1. With more admins than the current page size, click to the next page</t>
  </si>
  <si>
    <t>Admin count exceeding one page</t>
  </si>
  <si>
    <t>Next page loads correctly showing the next set of admins; counter updates accordingly</t>
  </si>
  <si>
    <t>TC_GRID_06</t>
  </si>
  <si>
    <t>Grid displays an appropriate empty state when no admins exist</t>
  </si>
  <si>
    <t>1. View the Admin module for an entity with zero configured admin users</t>
  </si>
  <si>
    <t>No admins exist</t>
  </si>
  <si>
    <t>Grid shows an appropriate empty-state message rather than a blank table or error</t>
  </si>
  <si>
    <t>TC_GRID_07</t>
  </si>
  <si>
    <t>Row-level Action icons (Edit, Activate/Deactivate, Delete) are present and functional for every row</t>
  </si>
  <si>
    <t>1. Inspect the Action column for multiple admin rows</t>
  </si>
  <si>
    <t>Each row consistently shows Edit, Activate/Deactivate toggle, and Delete icons, all clickable</t>
  </si>
  <si>
    <t>Icon appearance itself wasn't clearly readable in the recording per the document's own note — only their triggered behaviour was confirmed</t>
  </si>
  <si>
    <t>TC_GRID_08</t>
  </si>
  <si>
    <t>Add Admin' button/link is visible and correctly positioned</t>
  </si>
  <si>
    <t>1. Observe the Admin module's layout for the Add Admin control</t>
  </si>
  <si>
    <t>Add Admin' button/link is visible at the bottom-left of the grid, consistent with the 'Upload Invoice +' pattern seen on the Invoice grid</t>
  </si>
  <si>
    <t>TC_ADDFLOW_01</t>
  </si>
  <si>
    <t>Add Admin - Functional Flow</t>
  </si>
  <si>
    <t>Add Admin' opens the Add Admin form successfully</t>
  </si>
  <si>
    <t>1. Navigate to Admin module
2. Click 'Add Admin'</t>
  </si>
  <si>
    <t>Add Admin form opens, displaying Admin User Name, Phone Number, Admin Email Address, Emirates ID Number, Admin Emirates ID Copy, and Assign Entities fields</t>
  </si>
  <si>
    <t>TC_ADDFLOW_02</t>
  </si>
  <si>
    <t>Submitting a valid Add Admin form creates the admin successfully</t>
  </si>
  <si>
    <t>1. Fill Admin User Name, Phone Number, Admin Email Address, Emirates ID Number, upload Emirates ID Copy, select Assign Entities
2. Submit</t>
  </si>
  <si>
    <t>Name: Hasir; Phone: +971 784387823; Email: hasir.produbaiairlines@yopmail.com; Emirates ID: HA2674623767237; Entities: PRODUBAI AIRLINES - Dubai</t>
  </si>
  <si>
    <t>A success dialog 'User Added Successfully' is shown; the new admin ('Hasir') appears in the User List grid</t>
  </si>
  <si>
    <t>TC_ADDFLOW_03</t>
  </si>
  <si>
    <t>New admin appears in the grid with all submitted details correctly reflected</t>
  </si>
  <si>
    <t>1. Complete TC_ADDFLOW_02
2. Locate the new admin row in the grid
3. Compare grid values against submitted form data</t>
  </si>
  <si>
    <t>Same data as TC_ADDFLOW_02</t>
  </si>
  <si>
    <t>Grid row accurately reflects the Name, Email, Assigned Entity, and default Status (Active) for the newly created admin</t>
  </si>
  <si>
    <t>TC_ADDFLOW_04</t>
  </si>
  <si>
    <t>Add Admin form can be cancelled/closed without creating an admin</t>
  </si>
  <si>
    <t>1. Open Add Admin form
2. Enter partial data
3. Close/cancel without submitting</t>
  </si>
  <si>
    <t>Partial data entered</t>
  </si>
  <si>
    <t>Form closes without creating any admin record; User List grid remains unchanged</t>
  </si>
  <si>
    <t>Add Admin - Field Validations</t>
  </si>
  <si>
    <t>Enter a valid value in 'Admin User Name'</t>
  </si>
  <si>
    <t>1. Open Add Admin form
2. Enter a valid value in 'Admin User Name'
3. Complete other mandatory fields
4. Submit</t>
  </si>
  <si>
    <t>Admin User Name: Hasir</t>
  </si>
  <si>
    <t>Value is accepted; no validation error shown; admin is created successfully</t>
  </si>
  <si>
    <t>Leave 'Admin User Name' empty and attempt to submit</t>
  </si>
  <si>
    <t>1. Leave 'Admin User Name' empty
2. Complete other fields
3. Submit</t>
  </si>
  <si>
    <t>Admin User Name: (empty)</t>
  </si>
  <si>
    <t>Validation error shown: 'Admin User Name is required'; admin is not created</t>
  </si>
  <si>
    <t>Enter value exceeding maximum length in 'Admin User Name'</t>
  </si>
  <si>
    <t>1. Enter an excessively long value (300+ characters) in 'Admin User Name'
2. Attempt to submit</t>
  </si>
  <si>
    <t>Admin User Name: 300+ character string</t>
  </si>
  <si>
    <t>TC_ADMIN_NAME_04</t>
  </si>
  <si>
    <t>Enter script/SQL injection payload in 'Admin User Name'</t>
  </si>
  <si>
    <t>1. Enter a script/SQL injection payload in 'Admin User Name'
2. Attempt to submit</t>
  </si>
  <si>
    <t>Admin User Name: &lt;script&gt;alert(1)&lt;/script&gt;</t>
  </si>
  <si>
    <t>TC_ADMIN_NAME_05</t>
  </si>
  <si>
    <t>Enter leading/trailing whitespace in 'Admin User Name'</t>
  </si>
  <si>
    <t>1. Enter '  Hasir  ' with leading/trailing spaces
2. Attempt to submit</t>
  </si>
  <si>
    <t>Admin User Name: '  Hasir  '</t>
  </si>
  <si>
    <t>Whitespace is trimmed automatically before saving, or consistently flagged</t>
  </si>
  <si>
    <t>TC_ADMIN_PHONE_01</t>
  </si>
  <si>
    <t>Enter a valid phone number with country code</t>
  </si>
  <si>
    <t>1. Select country code (e.g., +971)
2. Enter a valid numeric phone number
3. Submit</t>
  </si>
  <si>
    <t>Country Code: +971; Phone: 784387823</t>
  </si>
  <si>
    <t>Phone number is accepted; no validation error shown</t>
  </si>
  <si>
    <t>TC_ADMIN_PHONE_02</t>
  </si>
  <si>
    <t>Leave Phone Number empty and attempt to submit</t>
  </si>
  <si>
    <t>1. Leave Phone Number empty
2. Complete other fields
3. Submit</t>
  </si>
  <si>
    <t>Phone: (empty)</t>
  </si>
  <si>
    <t>Validation error shown: 'Phone Number is required'; admin is not created</t>
  </si>
  <si>
    <t>TC_ADMIN_PHONE_03</t>
  </si>
  <si>
    <t>Enter non-numeric characters in Phone Number</t>
  </si>
  <si>
    <t>1. Enter letters/special characters in the phone number field
2. Attempt to submit</t>
  </si>
  <si>
    <t>Phone: 78ABC823</t>
  </si>
  <si>
    <t>Field rejects non-numeric input; validation error shown or characters are not accepted</t>
  </si>
  <si>
    <t>TC_ADMIN_PHONE_04</t>
  </si>
  <si>
    <t>Enter a phone number with incorrect digit length for the selected country</t>
  </si>
  <si>
    <t>1. Select +971 (UAE)
2. Enter a number with too few/many digits
3. Submit</t>
  </si>
  <si>
    <t>Country Code: +971; Phone: 123</t>
  </si>
  <si>
    <t>Validation error shown indicating the expected digit length for the selected country</t>
  </si>
  <si>
    <t>TC_ADMIN_EMAIL_01</t>
  </si>
  <si>
    <t>Enter a valid, unique Admin Email Address</t>
  </si>
  <si>
    <t>1. Open Add Admin form
2. Enter a valid, not-previously-used email
3. Complete other mandatory fields
4. Submit</t>
  </si>
  <si>
    <t>Email: hasir.produbaiairlines@yopmail.com</t>
  </si>
  <si>
    <t>Email is accepted; no validation error shown; admin is created successfully</t>
  </si>
  <si>
    <t>TC_ADMIN_EMAIL_02</t>
  </si>
  <si>
    <t>Leave Admin Email Address empty and attempt to submit</t>
  </si>
  <si>
    <t>1. Leave Admin Email Address empty
2. Complete other fields
3. Submit</t>
  </si>
  <si>
    <t>Validation error shown: 'Email is required'; admin is not created</t>
  </si>
  <si>
    <t>TC_ADMIN_EMAIL_03</t>
  </si>
  <si>
    <t>1. Enter a malformed email (e.g., 'admin@', 'admin.com')
2. Attempt to submit</t>
  </si>
  <si>
    <t>Email: admin@, admin.com</t>
  </si>
  <si>
    <t>Validation error shown: 'Enter a valid email address'; admin is not created</t>
  </si>
  <si>
    <t>TC_ADMIN_EMAIL_04</t>
  </si>
  <si>
    <t>Enter an email already used by another admin (duplicate check)</t>
  </si>
  <si>
    <t>1. Create Admin A with Email X
2. Attempt to create Admin B with the same Email X</t>
  </si>
  <si>
    <t>Email: same as an existing admin's email</t>
  </si>
  <si>
    <t>Validation error shown indicating the email is already in use; Admin B is not created (assuming admin email uniqueness is enforced, consistent with the Buyer Email uniqueness rule seen elsewhere in the platform)</t>
  </si>
  <si>
    <t>This is standard QA validation logic inferred from typical field behaviour — the document explicitly notes this was NOT directly shown in the recording (no error/edge-case scenarios were demonstrated). Confirm exact behaviour/wording against the live app during execution. Also confirm whether admin email uniqueness is actually enforced, since this specific rule is not stated in this document.</t>
  </si>
  <si>
    <t>TC_ADMIN_EMAIL_TA_01</t>
  </si>
  <si>
    <t>Type-ahead suggestion dropdown shows similar existing emails as the user types</t>
  </si>
  <si>
    <t>1. Open Add Admin form
2. Begin typing an email in Admin Email Address (e.g., 'ajmal')</t>
  </si>
  <si>
    <t>Partial input: 'ajmal'</t>
  </si>
  <si>
    <t>A suggestion dropdown appears showing similar existing addresses (e.g., ajmalkhan.santa@yopmail.com), consistent with what was observed in the recording</t>
  </si>
  <si>
    <t>TC_ADMIN_EMAIL_TA_02</t>
  </si>
  <si>
    <t>Selecting a suggested email from the type-ahead dropdown populates the field correctly</t>
  </si>
  <si>
    <t>1. Start typing an email
2. Click a suggestion from the dropdown</t>
  </si>
  <si>
    <t>Suggestion: ajmalkhan.santa@yopmail.com</t>
  </si>
  <si>
    <t>The selected suggestion populates the Admin Email Address field exactly; no partial/garbled text remains</t>
  </si>
  <si>
    <t>TC_ADMIN_EMAIL_TA_03</t>
  </si>
  <si>
    <t>Ignoring the type-ahead suggestions and typing a fully new email is still accepted</t>
  </si>
  <si>
    <t>1. Type a brand-new email not matching any suggestion
2. Ignore the dropdown
3. Complete the field</t>
  </si>
  <si>
    <t>A new email not present in the suggestion list is accepted normally, consistent with the recording where 'hasir.produbaiairlines@yopmail.com' was entered as a new address</t>
  </si>
  <si>
    <t>TC_ADMIN_EMAIL_TA_04</t>
  </si>
  <si>
    <t>Type-ahead dropdown does not suggest inactive/deleted admin emails</t>
  </si>
  <si>
    <t>1. Delete an existing admin
2. Start typing an email matching the deleted admin's address</t>
  </si>
  <si>
    <t>Deleted admin's email prefix</t>
  </si>
  <si>
    <t>Deleted admin's email is not suggested in the type-ahead dropdown, or is clearly marked if still shown</t>
  </si>
  <si>
    <t>Enter a valid value in 'Emirates ID Number'</t>
  </si>
  <si>
    <t>1. Enter a valid value in 'Emirates ID Number'
2. Complete other fields
3. Submit</t>
  </si>
  <si>
    <t>Emirates ID Number: HA2674623767237</t>
  </si>
  <si>
    <t>Value is accepted; no validation error shown</t>
  </si>
  <si>
    <t>Leave 'Emirates ID Number' empty and attempt to submit</t>
  </si>
  <si>
    <t>1. Leave 'Emirates ID Number' empty
2. Submit</t>
  </si>
  <si>
    <t>Validation error shown: 'Emirates ID Number is required'; admin is not created</t>
  </si>
  <si>
    <t>Enter an invalid format/characters in 'Emirates ID Number'</t>
  </si>
  <si>
    <t>1. Enter a value not matching the expected format (e.g., HA@#12)
2. Submit</t>
  </si>
  <si>
    <t>Emirates ID Number: HA@#12</t>
  </si>
  <si>
    <t>Validation error shown indicating the expected format</t>
  </si>
  <si>
    <t>Enter a duplicate 'Emirates ID Number' already used by another admin</t>
  </si>
  <si>
    <t>1. Create Admin A with a specific 'Emirates ID Number'
2. Attempt to create Admin B with the same value</t>
  </si>
  <si>
    <t>Validation error shown if uniqueness is enforced for this identifier; otherwise value is accepted normally</t>
  </si>
  <si>
    <t>This is standard QA validation logic inferred from typical field behaviour — the document explicitly notes this was NOT directly shown in the recording (no error/edge-case scenarios were demonstrated). Confirm exact behaviour/wording against the live app during execution. Confirm whether Emirates ID Number uniqueness is enforced across admins.</t>
  </si>
  <si>
    <t>TC_EIDUP_01</t>
  </si>
  <si>
    <t>Add Admin - Emirates ID Copy Upload</t>
  </si>
  <si>
    <t>Upload a clean Emirates ID document successfully</t>
  </si>
  <si>
    <t>1. Click the Admin Emirates ID Copy upload control
2. Select a clean file from the local OS file picker (e.g., Emirates_ID.pdf)
3. Submit</t>
  </si>
  <si>
    <t>File: Emirates_ID.pdf (clean, valid format/size)</t>
  </si>
  <si>
    <t>File picker opens correctly; selected file is attached and uploaded successfully; admin is created with the document linked</t>
  </si>
  <si>
    <t>TC_EIDUP_02</t>
  </si>
  <si>
    <t>Attempt to submit without uploading Emirates ID Copy (if mandatory)</t>
  </si>
  <si>
    <t>1. Leave Admin Emirates ID Copy empty
2. Complete other fields
3. Submit</t>
  </si>
  <si>
    <t>Validation error shown if this field is mandatory; admin is not created until a file is attached</t>
  </si>
  <si>
    <t>This is standard QA validation logic inferred from typical field behaviour — the document explicitly notes this was NOT directly shown in the recording (no error/edge-case scenarios were demonstrated). Confirm exact behaviour/wording against the live app during execution. Confirm whether Emirates ID Copy is actually mandatory — this wasn't explicitly stated as mandatory in the document</t>
  </si>
  <si>
    <t>TC_EIDUP_03</t>
  </si>
  <si>
    <t>Upload the EICAR antivirus test file as the Emirates ID Copy</t>
  </si>
  <si>
    <t>1. Prepare the EICAR test string as a .pdf file
2. Attempt to upload it as the Emirates ID Copy</t>
  </si>
  <si>
    <t>ClamAV (or equivalent scanner) detects the file as infected and rejects the upload with a clear, non-technical error message; admin is not created with the infected file attached</t>
  </si>
  <si>
    <t>Confirm whether ClamAV or an equivalent virus-scanning integration is actually applied to this specific upload field, consistent with other upload fields across the platform</t>
  </si>
  <si>
    <t>TC_EIDUP_04</t>
  </si>
  <si>
    <t>Upload a file in an unsupported format for Emirates ID Copy</t>
  </si>
  <si>
    <t>1. Attempt to upload a file in a format not supported (e.g., .exe)</t>
  </si>
  <si>
    <t>File: malicious.exe</t>
  </si>
  <si>
    <t>Upload is rejected with a validation error indicating the allowed file formats</t>
  </si>
  <si>
    <t>TC_EIDUP_05</t>
  </si>
  <si>
    <t>Upload a file exceeding the maximum allowed size for Emirates ID Copy</t>
  </si>
  <si>
    <t>1. Attempt to upload a file exceeding the platform's typical upload size limit (e.g., 1 MB, consistent with other upload fields)</t>
  </si>
  <si>
    <t>File: oversized_id.pdf (10 MB)</t>
  </si>
  <si>
    <t>Upload is rejected with a validation error indicating the maximum file size</t>
  </si>
  <si>
    <t>This is standard QA validation logic inferred from typical field behaviour — the document explicitly notes this was NOT directly shown in the recording (no error/edge-case scenarios were demonstrated). Confirm exact behaviour/wording against the live app during execution. Confirm the exact size limit for this field</t>
  </si>
  <si>
    <t>TC_EIDUP_06</t>
  </si>
  <si>
    <t>Upload a corrupted/malformed file as Emirates ID Copy</t>
  </si>
  <si>
    <t>1. Prepare a deliberately corrupted file with a valid extension
2. Attempt to upload</t>
  </si>
  <si>
    <t>File: corrupted_id.pdf</t>
  </si>
  <si>
    <t>Upload is rejected with a clear error; no server crash or unhandled exception occurs</t>
  </si>
  <si>
    <t>TC_EIDUP_07</t>
  </si>
  <si>
    <t>Replacing an already-uploaded Emirates ID Copy with a new file works correctly</t>
  </si>
  <si>
    <t>1. Upload one file
2. Before submitting, remove/replace it with a different file</t>
  </si>
  <si>
    <t>File A replaced with File B</t>
  </si>
  <si>
    <t>The new file (File B) replaces File A correctly; only File B is submitted with the form</t>
  </si>
  <si>
    <t>TC_ASSIGNENT_01</t>
  </si>
  <si>
    <t>Add Admin - Assign Entities</t>
  </si>
  <si>
    <t>Assign Entities dropdown allows selecting one or multiple entities</t>
  </si>
  <si>
    <t>1. Click the Assign Entities dropdown
2. Select one entity, then select a second entity via checkboxes</t>
  </si>
  <si>
    <t>Select 2 entities via checkboxes</t>
  </si>
  <si>
    <t>Both entities can be selected simultaneously via checkboxes, consistent with the 'Select one or Multiple' labeling</t>
  </si>
  <si>
    <t>TC_ASSIGNENT_02</t>
  </si>
  <si>
    <t>Selected entities appear as removable chips below/within the field</t>
  </si>
  <si>
    <t>1. Select one or more entities from the dropdown
2. Observe the field area below/within it</t>
  </si>
  <si>
    <t>2 entities selected</t>
  </si>
  <si>
    <t>Each selected entity appears as a chip with an 'x' remove control</t>
  </si>
  <si>
    <t>TC_ASSIGNENT_03</t>
  </si>
  <si>
    <t>Clicking the 'x' on a chip removes that entity from the selection</t>
  </si>
  <si>
    <t>1. With 2 entities selected as chips
2. Click the 'x' on one chip</t>
  </si>
  <si>
    <t>Remove 1 of 2 selected entities</t>
  </si>
  <si>
    <t>The clicked entity's chip is removed; the dropdown/checkbox state updates to reflect it is no longer selected; the other entity remains selected</t>
  </si>
  <si>
    <t>TC_ASSIGNENT_04</t>
  </si>
  <si>
    <t>Attempt to submit without selecting any entity (if mandatory)</t>
  </si>
  <si>
    <t>1. Leave Assign Entities empty
2. Complete other fields
3. Submit</t>
  </si>
  <si>
    <t>Assign Entities: (none selected)</t>
  </si>
  <si>
    <t>Validation error shown if this field is mandatory; admin is not created until at least one entity is assigned</t>
  </si>
  <si>
    <t>This is standard QA validation logic inferred from typical field behaviour — the document explicitly notes this was NOT directly shown in the recording (no error/edge-case scenarios were demonstrated). Confirm exact behaviour/wording against the live app during execution. Confirm whether Assign Entities is mandatory</t>
  </si>
  <si>
    <t>TC_ASSIGNENT_05</t>
  </si>
  <si>
    <t>Entity list in the dropdown reflects only entities the current admin/user has access to manage</t>
  </si>
  <si>
    <t>1. Login as a user managing only Entity A
2. Open the Assign Entities dropdown</t>
  </si>
  <si>
    <t>User scoped to Entity A only</t>
  </si>
  <si>
    <t>Only Entity A (and its associated records) appears as selectable; entities the current user has no access to are not listed</t>
  </si>
  <si>
    <t>TC_MULTIADD_01</t>
  </si>
  <si>
    <t>Add Multiple Admins</t>
  </si>
  <si>
    <t>Add New Admin +' appends a new blank admin entry to the same form</t>
  </si>
  <si>
    <t>1. Open Add Admin form
2. Fill the first admin's details
3. Click 'Add New Admin +'</t>
  </si>
  <si>
    <t>A new, blank set of admin fields (Name, Phone, Email, Emirates ID, Emirates ID Copy, Assign Entities) is appended below the first, without clearing the first admin's already-entered data</t>
  </si>
  <si>
    <t>TC_MULTIADD_02</t>
  </si>
  <si>
    <t>Submitting a form with multiple admin entries creates all admins together</t>
  </si>
  <si>
    <t>1. Fill 2 complete admin entries using 'Add New Admin +'
2. Submit the form once</t>
  </si>
  <si>
    <t>Admin A and Admin B, both fully filled</t>
  </si>
  <si>
    <t>Both admins are created in a single submission; both appear in the User List grid afterward</t>
  </si>
  <si>
    <t>TC_MULTIADD_03</t>
  </si>
  <si>
    <t>Submitting multiple admin entries where one entry is invalid blocks the entire submission with clear errors</t>
  </si>
  <si>
    <t>1. Fill 2 admin entries, leaving a mandatory field empty in the second entry
2. Submit</t>
  </si>
  <si>
    <t>Admin A valid; Admin B missing Email</t>
  </si>
  <si>
    <t>Submission is blocked; validation error is shown specifically for Admin B's missing field; Admin A is not partially created while Admin B fails</t>
  </si>
  <si>
    <t>TC_MULTIADD_04</t>
  </si>
  <si>
    <t>Duplicate email/Emirates ID across two entries in the same multi-admin submission is detected</t>
  </si>
  <si>
    <t>1. Fill Admin A and Admin B in the same form with the same email address for both</t>
  </si>
  <si>
    <t>Admin A and Admin B: same email</t>
  </si>
  <si>
    <t>Validation error shown identifying the duplicate within the same submission; neither admin (or only the valid one) is created until resolved</t>
  </si>
  <si>
    <t>TC_MULTIADD_05</t>
  </si>
  <si>
    <t>A blank appended admin entry can be removed before submission</t>
  </si>
  <si>
    <t>1. Click 'Add New Admin +' to append a second entry
2. Remove/collapse that second entry before submitting</t>
  </si>
  <si>
    <t>The appended blank entry is removed cleanly; only the remaining entry/entries are submitted</t>
  </si>
  <si>
    <t>TC_EDIT_01</t>
  </si>
  <si>
    <t>Edit Admin</t>
  </si>
  <si>
    <t>Edit action opens the form pre-filled with the admin's current details</t>
  </si>
  <si>
    <t>1. Click the Edit icon on an existing admin row</t>
  </si>
  <si>
    <t>Existing admin: e.g., MACKY HIN</t>
  </si>
  <si>
    <t>Form opens pre-filled with Name, Phone (country code + number), Email, Emirates ID Number, existing Emirates ID Copy (shown with a view/download icon), and Assign Entities (pre-selected as chips)</t>
  </si>
  <si>
    <t>TC_EDIT_02</t>
  </si>
  <si>
    <t>Update Admin' commits changes successfully</t>
  </si>
  <si>
    <t>1. Open Edit form for an admin
2. Modify one or more fields (e.g., Phone Number)
3. Click 'Update Admin'</t>
  </si>
  <si>
    <t>Updated Phone Number</t>
  </si>
  <si>
    <t>A confirmation dialog 'User Updated Successfully' appears; the grid reflects the updated details</t>
  </si>
  <si>
    <t>TC_EDIT_03</t>
  </si>
  <si>
    <t>Existing Emirates ID Copy can be viewed/downloaded from the Edit form</t>
  </si>
  <si>
    <t>1. Open Edit form for an admin with an existing uploaded document
2. Click the view/download icon next to the file</t>
  </si>
  <si>
    <t>The existing Emirates ID Copy file opens or downloads correctly, showing the actual previously uploaded document</t>
  </si>
  <si>
    <t>TC_EDIT_04</t>
  </si>
  <si>
    <t>Existing Emirates ID Copy can be replaced with a new file during edit</t>
  </si>
  <si>
    <t>1. Open Edit form
2. Upload a new file to replace the existing Emirates ID Copy
3. Save</t>
  </si>
  <si>
    <t>New file replacing old</t>
  </si>
  <si>
    <t>New file replaces the old one; the updated document is what's associated with the admin going forward</t>
  </si>
  <si>
    <t>TC_EDIT_05</t>
  </si>
  <si>
    <t>Editing to leave a mandatory field empty blocks the update</t>
  </si>
  <si>
    <t>1. Open Edit form
2. Clear a mandatory field (e.g., Admin User Name)
3. Click 'Update Admin'</t>
  </si>
  <si>
    <t>Admin User Name: cleared to empty</t>
  </si>
  <si>
    <t>Validation error shown; update is blocked; original data is not lost/corrupted</t>
  </si>
  <si>
    <t>TC_EDIT_06</t>
  </si>
  <si>
    <t>Editing an admin's email to a value already used by another admin is blocked</t>
  </si>
  <si>
    <t>1. Edit Admin A's email to match Admin B's existing email
2. Attempt to update</t>
  </si>
  <si>
    <t>Admin A's email changed to Admin B's email</t>
  </si>
  <si>
    <t>Validation error shown indicating the email is already in use by another admin; update is blocked</t>
  </si>
  <si>
    <t>This is standard QA validation logic inferred from typical field behaviour — the document explicitly notes this was NOT directly shown in the recording (no error/edge-case scenarios were demonstrated). Confirm exact behaviour/wording against the live app during execution. Confirm this uniqueness rule with BA/Dev</t>
  </si>
  <si>
    <t>TC_EDIT_07</t>
  </si>
  <si>
    <t>Removing all assigned entities during edit is handled per business rule</t>
  </si>
  <si>
    <t>1. Open Edit form for an admin with assigned entities
2. Remove all entity chips
3. Attempt to update</t>
  </si>
  <si>
    <t>All entities removed</t>
  </si>
  <si>
    <t>Either validation blocks the update (if at least one entity is mandatory) or the admin becomes unassigned to any entity — behaviour should be intentional and consistent</t>
  </si>
  <si>
    <t>TC_EDIT_08</t>
  </si>
  <si>
    <t>Cancelling the Edit form discards changes without updating the admin</t>
  </si>
  <si>
    <t>1. Open Edit form
2. Modify a field
3. Cancel/close without clicking Update Admin</t>
  </si>
  <si>
    <t>Modified field, then cancelled</t>
  </si>
  <si>
    <t>No changes are saved; the admin's original details remain unchanged in the grid</t>
  </si>
  <si>
    <t>TC_DEACT_01</t>
  </si>
  <si>
    <t>Activate / Deactivate Admin</t>
  </si>
  <si>
    <t>Deactivating an active admin shows the correct confirmation prompt</t>
  </si>
  <si>
    <t>1. Click the status toggle/action icon on an Active admin</t>
  </si>
  <si>
    <t>Active admin: e.g., 'Arafa'</t>
  </si>
  <si>
    <t>Confirmation prompt appears: 'Deactivate Admin? – Do you want to deactivate Arafa?'</t>
  </si>
  <si>
    <t>TC_DEACT_02</t>
  </si>
  <si>
    <t>Confirming deactivation updates status and shows the correct success message</t>
  </si>
  <si>
    <t>1. From the Deactivate confirmation prompt, click Yes/Proceed</t>
  </si>
  <si>
    <t>Admin User Deactivated Updated Successfully' is shown; the admin's Status in the grid updates to Inactive</t>
  </si>
  <si>
    <t>TC_DEACT_03</t>
  </si>
  <si>
    <t>Cancelling the deactivation prompt leaves the admin's status unchanged</t>
  </si>
  <si>
    <t>1. Click the deactivate action
2. Click Cancel/No on the confirmation prompt</t>
  </si>
  <si>
    <t>Admin's status remains Active; no change is applied</t>
  </si>
  <si>
    <t>TC_REACT_01</t>
  </si>
  <si>
    <t>Activating an inactive admin shows the correct confirmation prompt</t>
  </si>
  <si>
    <t>1. Click the status toggle/action icon on an Inactive admin</t>
  </si>
  <si>
    <t>Inactive admin</t>
  </si>
  <si>
    <t>Confirmation prompt appears: 'Activate Admin? – Do you want to activate &lt;name&gt;?'</t>
  </si>
  <si>
    <t>TC_REACT_02</t>
  </si>
  <si>
    <t>Confirming activation updates status and shows the correct success message</t>
  </si>
  <si>
    <t>1. From the Activate confirmation prompt, click Yes/Proceed</t>
  </si>
  <si>
    <t>Admin User Activated Updated Successfully' is shown; the admin's Status reverts to Active in the grid</t>
  </si>
  <si>
    <t>TC_REACT_03</t>
  </si>
  <si>
    <t>Cancelling the activation prompt leaves the admin's status unchanged</t>
  </si>
  <si>
    <t>1. Click the activate action
2. Click Cancel/No on the confirmation prompt</t>
  </si>
  <si>
    <t>Admin's status remains Inactive; no change is applied</t>
  </si>
  <si>
    <t>TC_DEACT_04</t>
  </si>
  <si>
    <t>A deactivated admin cannot log in to the platform</t>
  </si>
  <si>
    <t>1. Deactivate an admin
2. Attempt to login using that admin's credentials</t>
  </si>
  <si>
    <t>Deactivated admin's login credentials</t>
  </si>
  <si>
    <t>Login is rejected with an appropriate message (e.g., 'Your account has been deactivated. Contact your administrator.'), consistent with the purpose of deactivation</t>
  </si>
  <si>
    <t>Not shown in the recording — login-blocking behaviour for deactivated admins is a reasonable inferred business rule but must be confirmed with BA/Dev</t>
  </si>
  <si>
    <t>TC_DEL_01</t>
  </si>
  <si>
    <t>Delete Admin</t>
  </si>
  <si>
    <t>Delete action shows the correct confirmation prompt</t>
  </si>
  <si>
    <t>1. Click the Delete icon on an admin row</t>
  </si>
  <si>
    <t>Admin: e.g., 'shankar'</t>
  </si>
  <si>
    <t>Confirmation prompt appears: 'Delete Admin? – Do you want to delete shankar?'</t>
  </si>
  <si>
    <t>TC_DEL_02</t>
  </si>
  <si>
    <t>Confirming deletion removes the admin and shows the correct success message</t>
  </si>
  <si>
    <t>1. From the Delete confirmation prompt, click Yes/Proceed</t>
  </si>
  <si>
    <t>Admin User Deleted Successfully' is shown; the row is removed from the User List grid; the 'Showing X of Y entries' count decreases by 1</t>
  </si>
  <si>
    <t>TC_DEL_03</t>
  </si>
  <si>
    <t>Cancelling the delete prompt leaves the admin in the grid unchanged</t>
  </si>
  <si>
    <t>1. Click the Delete icon
2. Click Cancel/No on the confirmation prompt</t>
  </si>
  <si>
    <t>Admin row remains in the grid unchanged; entries count remains the same</t>
  </si>
  <si>
    <t>TC_DEL_04</t>
  </si>
  <si>
    <t>Deleting the only admin assigned to an entity is handled per business rule</t>
  </si>
  <si>
    <t>1. Identify an entity with exactly one assigned admin
2. Delete that admin</t>
  </si>
  <si>
    <t>Entity with a single admin</t>
  </si>
  <si>
    <t>System either blocks deletion (to prevent an entity from having zero admins) or allows it with an appropriate warning — behaviour should be intentional, not silently leaving an unmanaged entity</t>
  </si>
  <si>
    <t>Not shown in the recording — confirm this edge case's intended behaviour with BA/Dev</t>
  </si>
  <si>
    <t>TC_DEL_05</t>
  </si>
  <si>
    <t>A deleted admin's credentials can no longer be used to log in</t>
  </si>
  <si>
    <t>1. Delete an admin
2. Attempt to login using that admin's previous credentials</t>
  </si>
  <si>
    <t>Deleted admin's login credentials</t>
  </si>
  <si>
    <t>Login is rejected; the deleted admin can no longer access the platform under any circumstance</t>
  </si>
  <si>
    <t>TC_DEL_06</t>
  </si>
  <si>
    <t>Deleting an admin does not affect other admins or the entity's other data</t>
  </si>
  <si>
    <t>1. Note details of other admins/entity data before deletion
2. Delete one specific admin
3. Verify other admins/data are unaffected</t>
  </si>
  <si>
    <t>Multiple admins present</t>
  </si>
  <si>
    <t>Only the targeted admin is removed; all other admins, entity settings, and data remain completely unaffected</t>
  </si>
  <si>
    <t>TC_NOTIF_01</t>
  </si>
  <si>
    <t>Notifications / Feedback Patterns</t>
  </si>
  <si>
    <t>All state-changing actions require explicit confirmation before executing</t>
  </si>
  <si>
    <t>1. Trigger Deactivate, Activate, and Delete actions one at a time
2. Observe whether each requires confirmation</t>
  </si>
  <si>
    <t>Every state-changing action (Deactivate, Activate, Delete) consistently shows a confirmation prompt with Yes/Proceed and Cancel/No options before executing — none execute immediately without confirmation</t>
  </si>
  <si>
    <t>TC_NOTIF_02</t>
  </si>
  <si>
    <t>Success dialogs/toasts are shown consistently and are transient (auto-dismiss or dismissible)</t>
  </si>
  <si>
    <t>1. Trigger each successful action (Add, Update, Deactivate, Activate, Delete)
2. Observe the resulting success message's behaviour</t>
  </si>
  <si>
    <t>Each success message appears clearly and either auto-dismisses after a reasonable time or can be manually dismissed, without blocking further interaction indefinitely</t>
  </si>
  <si>
    <t>TC_NOTIF_03</t>
  </si>
  <si>
    <t>Confirmation prompt wording is specific to the exact action and admin name, not generic</t>
  </si>
  <si>
    <t>1. Trigger Deactivate/Activate/Delete on different named admins
2. Compare the confirmation prompt text for each</t>
  </si>
  <si>
    <t>Different admin names</t>
  </si>
  <si>
    <t>Each confirmation prompt correctly substitutes the specific admin's name (e.g., 'Do you want to deactivate Arafa?' vs '...delete shankar?'), not a generic placeholder</t>
  </si>
  <si>
    <t>TC_NOTIF_04</t>
  </si>
  <si>
    <t>Consistency between this module's confirmation pattern and other platform modules (e.g., Invoice Withdrawal)</t>
  </si>
  <si>
    <t>1. Compare the confirmation dialog style/pattern here against the Invoice Withdrawal confirmation flow</t>
  </si>
  <si>
    <t>Confirmation pattern (Yes/Proceed, Cancel/No, specific wording) is visually and behaviourally consistent with the pattern used elsewhere in FlexCapPro</t>
  </si>
  <si>
    <t>Document notes this consistency by comparison but did not re-verify the Invoice Withdrawal flow itself in this recording</t>
  </si>
  <si>
    <t>End-to-End Key User Flows</t>
  </si>
  <si>
    <t>View all admin users flow works end-to-end</t>
  </si>
  <si>
    <t>1. Navigate to Admin module</t>
  </si>
  <si>
    <t>User List grid loads correctly with Name, Email, Assigned Entity, Assigned Roles, Status, and Action for every admin</t>
  </si>
  <si>
    <t>Add a new admin flow works end-to-end</t>
  </si>
  <si>
    <t>1. Add Admin -&gt; fill Name/Phone/Email/Emirates ID/Assign Entities -&gt; submit</t>
  </si>
  <si>
    <t>Complete valid data</t>
  </si>
  <si>
    <t>User Added Successfully' shown; new admin appears in User List</t>
  </si>
  <si>
    <t>Add multiple admins in one go flow works end-to-end</t>
  </si>
  <si>
    <t>1. Add Admin form -&gt; 'Add New Admin +' -&gt; repeat fields for a second admin -&gt; submit</t>
  </si>
  <si>
    <t>Two complete admin entries</t>
  </si>
  <si>
    <t>All entered admins are created together in a single submission</t>
  </si>
  <si>
    <t>Edit an existing admin flow works end-to-end</t>
  </si>
  <si>
    <t>1. Row Edit icon -&gt; update fields -&gt; 'Update Admin'</t>
  </si>
  <si>
    <t>Updated field value</t>
  </si>
  <si>
    <t>User Updated Successfully' shown; grid reflects changes</t>
  </si>
  <si>
    <t>Deactivate an admin flow works end-to-end</t>
  </si>
  <si>
    <t>1. Row action -&gt; confirm 'Deactivate Admin?'</t>
  </si>
  <si>
    <t>Admin User Deactivated Updated Successfully' shown; Status -&gt; Inactive</t>
  </si>
  <si>
    <t>TC_E2E_06</t>
  </si>
  <si>
    <t>Reactivate an admin flow works end-to-end</t>
  </si>
  <si>
    <t>1. Row action -&gt; confirm 'Activate Admin?'</t>
  </si>
  <si>
    <t>Admin User Activated Updated Successfully' shown; Status -&gt; Active</t>
  </si>
  <si>
    <t>TC_E2E_07</t>
  </si>
  <si>
    <t>Delete an admin flow works end-to-end</t>
  </si>
  <si>
    <t>1. Row Delete icon -&gt; confirm 'Delete Admin?'</t>
  </si>
  <si>
    <t>Admin User Deleted Successfully' shown; row removed from grid</t>
  </si>
  <si>
    <t>TC_E2E_08</t>
  </si>
  <si>
    <t>Full lifecycle: create, edit, deactivate, reactivate, then delete the same admin in sequence</t>
  </si>
  <si>
    <t>1. Create a new admin
2. Edit their details
3. Deactivate them
4. Reactivate them
5. Delete them</t>
  </si>
  <si>
    <t>One admin taken through the full lifecycle</t>
  </si>
  <si>
    <t>Each step completes successfully in sequence with the correct corresponding message at each stage, ending with the admin fully removed from the grid</t>
  </si>
  <si>
    <t>Full sequential lifecycle chain wasn't necessarily demonstrated as one continuous run in the recording — each individual step was, but confirm the full chain executes without unexpected state issues</t>
  </si>
  <si>
    <t>TC_FAQ_01</t>
  </si>
  <si>
    <t>FAQ Tab</t>
  </si>
  <si>
    <t>FAQ tab displays the accordion list of frequently asked questions</t>
  </si>
  <si>
    <t>1. Navigate to Help
2. Open the FAQ tab</t>
  </si>
  <si>
    <t>A 'Frequently Asked Question' accordion list is displayed with each question as a collapsed row showing an expand/collapse chevron</t>
  </si>
  <si>
    <t>TC_FAQ_02</t>
  </si>
  <si>
    <t>Clicking a question's chevron expands and reveals the correct answer text</t>
  </si>
  <si>
    <t>1. Click the chevron on 'How do I submit an invoice?'</t>
  </si>
  <si>
    <t>Question: 'How do I submit an invoice?'</t>
  </si>
  <si>
    <t>Answer text expands below the question: 'Suppliers have the convenience of submitting invoices through two methods: a bulk CSV upload or manually via the portal...'</t>
  </si>
  <si>
    <t>TC_FAQ_03</t>
  </si>
  <si>
    <t>All three documented FAQ question/answer pairs display correctly</t>
  </si>
  <si>
    <t>1. Expand each of the 3 questions in turn: 'How do I submit an invoice?', 'How do I track my settlement?', 'What is the threshold date, and why is it important?'</t>
  </si>
  <si>
    <t>All 3 questions</t>
  </si>
  <si>
    <t>Each question expands to reveal its exact documented answer text with no truncation or mismatch</t>
  </si>
  <si>
    <t>TC_FAQ_04</t>
  </si>
  <si>
    <t>Collapsing an expanded question hides its answer text again</t>
  </si>
  <si>
    <t>1. Expand a question
2. Click its chevron again to collapse it</t>
  </si>
  <si>
    <t>Answer text is hidden again; chevron reverts to the collapsed (∨) state</t>
  </si>
  <si>
    <t>This is standard QA validation logic — the document explicitly notes field validations/error states were NOT directly shown in the recording (inferred from on-screen behaviour only). Confirm exact behaviour/wording against the live app during execution.</t>
  </si>
  <si>
    <t>TC_FAQ_05</t>
  </si>
  <si>
    <t>Expanding a new question does not require manually collapsing the previously expanded one (single-open vs multi-open accordion)</t>
  </si>
  <si>
    <t>1. Expand Question A
2. Without collapsing Question A, click to expand Question B
3. Observe whether Question A auto-collapses or both remain expanded</t>
  </si>
  <si>
    <t>Question A then Question B</t>
  </si>
  <si>
    <t>Behaviour should be consistent and intentional — either only one question is ever expanded at a time (single-open accordion, auto-collapsing A when B opens), or multiple can remain expanded simultaneously (multi-open)</t>
  </si>
  <si>
    <t>The document explicitly flags this as unconfirmed: 'only one question was expanded at a time in the observed recording... confirm exact behaviour (single-open vs multi-open accordion) during testing.' This is the single most important FAQ behaviour to verify.</t>
  </si>
  <si>
    <t>TC_FAQ_06</t>
  </si>
  <si>
    <t>Other questions remain visible (collapsed) in the list while one is expanded</t>
  </si>
  <si>
    <t>1. Expand one question
2. Observe the other questions in the list</t>
  </si>
  <si>
    <t>The other questions remain visible in their collapsed state; they are not hidden or pushed off-screen</t>
  </si>
  <si>
    <t>TC_FAQ_07</t>
  </si>
  <si>
    <t>FAQ tab handles a scenario with no FAQ content gracefully (future-proofing)</t>
  </si>
  <si>
    <t>1. Simulate/consider a state where the FAQ list is empty</t>
  </si>
  <si>
    <t>No FAQ entries configured</t>
  </si>
  <si>
    <t>An appropriate empty-state message is shown rather than a blank tab</t>
  </si>
  <si>
    <t>Terms &amp; Conditions Tab</t>
  </si>
  <si>
    <t>Terms &amp; Conditions tab displays the Terms &amp; Conditions section</t>
  </si>
  <si>
    <t>1. Navigate to Help
2. Open the Terms &amp; Conditions tab</t>
  </si>
  <si>
    <t>A Terms &amp; Conditions section is displayed as read-only, scrollable long-form text</t>
  </si>
  <si>
    <t>Terms &amp; Conditions tab also displays the Privacy Policy section</t>
  </si>
  <si>
    <t>1. On the Terms &amp; Conditions tab, scroll to or locate the Privacy Policy section</t>
  </si>
  <si>
    <t>A separate Privacy Policy section is displayed as read-only, scrollable long-form text</t>
  </si>
  <si>
    <t>Both legal sections are read-only with no interactive elements</t>
  </si>
  <si>
    <t>1. Attempt to click/interact with the Terms &amp; Conditions and Privacy Policy text</t>
  </si>
  <si>
    <t>No interactive elements (links, buttons, editable fields) are present within either section; content is purely informational text</t>
  </si>
  <si>
    <t>Production build displays final legal copy instead of placeholder Lorem Ipsum text</t>
  </si>
  <si>
    <t>1. View the Terms &amp; Conditions tab in a production/staging environment (not UAT)</t>
  </si>
  <si>
    <t>Production environment</t>
  </si>
  <si>
    <t>Final, legally-reviewed Terms &amp; Conditions and Privacy Policy text is displayed — the Lorem Ipsum placeholder seen in UAT must not appear in production</t>
  </si>
  <si>
    <t>Explicitly flagged in the document as placeholder content in the observed UAT build — this MUST be verified as replaced before production release</t>
  </si>
  <si>
    <t>TC_TNC_05</t>
  </si>
  <si>
    <t>Long-form text scrolls smoothly without layout breaking</t>
  </si>
  <si>
    <t>1. Scroll through the full length of the Terms &amp; Conditions and Privacy Policy text</t>
  </si>
  <si>
    <t>Text scrolls smoothly; no layout breaking, overlapping, or cut-off content occurs at any scroll position</t>
  </si>
  <si>
    <t>TC_RQFLOW_01</t>
  </si>
  <si>
    <t>Support - Raise Query - Functional Flow</t>
  </si>
  <si>
    <t>Support tab displays Raise Query and Query Status sub-tabs</t>
  </si>
  <si>
    <t>1. Navigate to Help
2. Open the Support tab</t>
  </si>
  <si>
    <t>Two sub-tabs are shown: 'Raise Query' and 'Query Status'</t>
  </si>
  <si>
    <t>TC_RQFLOW_02</t>
  </si>
  <si>
    <t>Selecting a Query Type auto-populates the Subject field</t>
  </si>
  <si>
    <t>1. Open Raise Query
2. Select 'Card Update/Card Queries' from the Query Type dropdown
3. Observe the Subject field</t>
  </si>
  <si>
    <t>Query Type: Card Update/Card Queries</t>
  </si>
  <si>
    <t>Subject field auto-fills with 'Card Update/Card Queries'</t>
  </si>
  <si>
    <t>TC_RQFLOW_03</t>
  </si>
  <si>
    <t>Auto-populated Subject field remains editable</t>
  </si>
  <si>
    <t>1. After Query Type auto-fills Subject
2. Manually edit the Subject text</t>
  </si>
  <si>
    <t>Subject edited to a custom value</t>
  </si>
  <si>
    <t>Subject field accepts manual edits after auto-population; the custom text is retained and submitted</t>
  </si>
  <si>
    <t>TC_RQFLOW_04</t>
  </si>
  <si>
    <t>Submitting a valid Raise Query form creates a ticket successfully</t>
  </si>
  <si>
    <t>1. Select a Query Type
2. Enter query description
3. Click 'Send Request'</t>
  </si>
  <si>
    <t>Query Type: Application Issue; Query: 'App is slow when loading invoices'</t>
  </si>
  <si>
    <t>Confirmation message shown: 'Ticket with ID: &lt;TicketID&gt; successfully raised by &lt;Entity Name&gt;' (e.g. 'Ticket with ID: TECAPI000000008 successfully raised by HEER AIRLINES')</t>
  </si>
  <si>
    <t>TC_RQFLOW_05</t>
  </si>
  <si>
    <t>Newly raised ticket appears in Query Status after submission</t>
  </si>
  <si>
    <t>1. Complete TC_RQFLOW_04
2. Navigate to Query Status sub-tab</t>
  </si>
  <si>
    <t>The newly created ticket appears in the 'Your Queries' grid with the correct Ticket No., Query Type, Query Date, and Status = OPEN</t>
  </si>
  <si>
    <t>TC_RQFLOW_06</t>
  </si>
  <si>
    <t>Raise Query form resets/clears after successful submission</t>
  </si>
  <si>
    <t>1. Submit a query successfully
2. Observe the Raise Query form state afterward</t>
  </si>
  <si>
    <t>Form fields (Query Type, Subject, query text, attachment) are cleared/reset, ready for a new query to be raised</t>
  </si>
  <si>
    <t>TC_QTYPE_01</t>
  </si>
  <si>
    <t>Support - Raise Query - Field Validations</t>
  </si>
  <si>
    <t>Query Type dropdown lists all documented categories</t>
  </si>
  <si>
    <t>1. Click the Query Type dropdown
2. Review the full list of options</t>
  </si>
  <si>
    <t>Dropdown shows: Others, Bank Account Update, Card Update/Card Queries, Transaction Error, Invoice Related Queries, Payment Related Queries, Invoices Statement, Login Issue, Application Slowness, Application Issue, Change in Supplier Admin / Buyer Admin</t>
  </si>
  <si>
    <t>The document explicitly notes the full list may not be fully captured if the dropdown was scrolled during recording — verify the complete option list directly against the live app</t>
  </si>
  <si>
    <t>TC_QTYPE_02</t>
  </si>
  <si>
    <t>Query Type is a mandatory field</t>
  </si>
  <si>
    <t>1. Leave Query Type unselected
2. Attempt to click 'Send Request'</t>
  </si>
  <si>
    <t>Query Type: (unselected)</t>
  </si>
  <si>
    <t>Validation error shown: 'Query Type is required'; ticket is not created</t>
  </si>
  <si>
    <t>TC_QTYPE_03</t>
  </si>
  <si>
    <t>Only one Query Type can be selected at a time</t>
  </si>
  <si>
    <t>1. Select one Query Type
2. Attempt to select a different one</t>
  </si>
  <si>
    <t>Selecting a new Query Type replaces the previous selection; only one is active at a time</t>
  </si>
  <si>
    <t>TC_SUBJECT_01</t>
  </si>
  <si>
    <t>Subject field's live character counter displays and updates correctly</t>
  </si>
  <si>
    <t>1. Type into the Subject field
2. Observe the character counter</t>
  </si>
  <si>
    <t>Subject: 'Card Update/Card Queries' (24 characters)</t>
  </si>
  <si>
    <t>Counter displays '24/50' matching the documented format, and updates in real time as characters are typed/deleted</t>
  </si>
  <si>
    <t>TC_SUBJECT_02</t>
  </si>
  <si>
    <t>Subject field enforces the 50-character maximum limit</t>
  </si>
  <si>
    <t>1. Attempt to type more than 50 characters into Subject</t>
  </si>
  <si>
    <t>Subject: 55+ character string</t>
  </si>
  <si>
    <t>Field prevents further input beyond 50 characters, or shows a validation error; counter does not exceed '50/50'</t>
  </si>
  <si>
    <t>TC_SUBJECT_03</t>
  </si>
  <si>
    <t>Subject field is mandatory (cannot be cleared to empty before submission)</t>
  </si>
  <si>
    <t>1. Clear the auto-populated Subject field completely
2. Attempt to click 'Send Request'</t>
  </si>
  <si>
    <t>Subject: (empty)</t>
  </si>
  <si>
    <t>Validation error shown: 'Subject is required'; ticket is not created</t>
  </si>
  <si>
    <t>TC_SUBJECT_04</t>
  </si>
  <si>
    <t>Subject field rejects/sanitizes script injection</t>
  </si>
  <si>
    <t>1. Enter a script/SQL injection payload in Subject
2. Attempt to submit</t>
  </si>
  <si>
    <t>Subject: &lt;script&gt;alert(1)&lt;/script&gt;</t>
  </si>
  <si>
    <t>TC_QUERY_01</t>
  </si>
  <si>
    <t>Add your query' field's live character counter displays and updates correctly</t>
  </si>
  <si>
    <t>1. Type into the 'Add your query' field
2. Observe the character counter</t>
  </si>
  <si>
    <t>Query text: 20-character sample</t>
  </si>
  <si>
    <t>Counter displays '20/250' matching the documented format, updating in real time</t>
  </si>
  <si>
    <t>TC_QUERY_02</t>
  </si>
  <si>
    <t>Add your query' field enforces the 250-character maximum limit</t>
  </si>
  <si>
    <t>1. Attempt to type more than 250 characters into the query field</t>
  </si>
  <si>
    <t>Query text: 300+ character string</t>
  </si>
  <si>
    <t>Field prevents further input beyond 250 characters, or shows a validation error; counter does not exceed '250/250'</t>
  </si>
  <si>
    <t>TC_QUERY_03</t>
  </si>
  <si>
    <t>Add your query' field is mandatory</t>
  </si>
  <si>
    <t>1. Leave the query field empty
2. Attempt to click 'Send Request'</t>
  </si>
  <si>
    <t>Query text: (empty)</t>
  </si>
  <si>
    <t>Validation error shown: 'Query description is required'; ticket is not created</t>
  </si>
  <si>
    <t>TC_QUERY_04</t>
  </si>
  <si>
    <t>Add your query' field rejects/sanitizes script injection</t>
  </si>
  <si>
    <t>1. Enter a script/SQL injection payload in the query field
2. Attempt to submit</t>
  </si>
  <si>
    <t>Query: &lt;script&gt;alert(1)&lt;/script&gt;</t>
  </si>
  <si>
    <t>TC_QUERY_05</t>
  </si>
  <si>
    <t>Add your query' field enters leading/trailing whitespace consistently</t>
  </si>
  <si>
    <t>1. Enter a query with leading/trailing spaces
2. Submit</t>
  </si>
  <si>
    <t>Query: '  sample query  '</t>
  </si>
  <si>
    <t>TC_UPLOAD_01</t>
  </si>
  <si>
    <t>Support - Raise Query - File Upload</t>
  </si>
  <si>
    <t>Uploading a clean file shows the 'Scanning file for malware' progress state, then attaches successfully</t>
  </si>
  <si>
    <t>1. Click 'Upload your file'
2. Select a clean file (e.g., Invoice_007.pdf)
3. Observe the UI during and after selection</t>
  </si>
  <si>
    <t>File: Invoice_007.pdf (clean)</t>
  </si>
  <si>
    <t>UI shows a 'Scanning file for malware' progress state, then displays the attached file name with a remove ('x') option</t>
  </si>
  <si>
    <t>TC_UPLOAD_02</t>
  </si>
  <si>
    <t>Removing an attached file via the 'x' option works correctly</t>
  </si>
  <si>
    <t>1. Attach a file
2. Click the 'x' remove icon next to the attached filename</t>
  </si>
  <si>
    <t>The file is removed/detached from the form; the upload control returns to its empty state, ready for a new attachment</t>
  </si>
  <si>
    <t>TC_UPLOAD_03</t>
  </si>
  <si>
    <t>File Upload is optional — ticket can be submitted successfully without an attachment</t>
  </si>
  <si>
    <t>1. Complete Query Type, Subject, and query text
2. Leave the file upload empty
3. Click 'Send Request'</t>
  </si>
  <si>
    <t>No file attached</t>
  </si>
  <si>
    <t>Ticket is created successfully without requiring a file attachment, per the field being documented as optional</t>
  </si>
  <si>
    <t>TC_UPLOAD_04</t>
  </si>
  <si>
    <t>Uploading the EICAR antivirus test file triggers detection and rejection during the malware scan</t>
  </si>
  <si>
    <t>1. Prepare the EICAR test string as a file
2. Attempt to attach it via 'Upload your file'</t>
  </si>
  <si>
    <t>The 'Scanning file for malware' state detects the file as infected and rejects it with a clear, non-technical error message; the file is not attached</t>
  </si>
  <si>
    <t>The malware-scanning UI step itself was confirmed in the recording (TC_UPLOAD_01), but no actual infected-file rejection scenario was demonstrated — confirm this negative path directly</t>
  </si>
  <si>
    <t>TC_UPLOAD_05</t>
  </si>
  <si>
    <t>Uploading a file in an unsupported format is rejected</t>
  </si>
  <si>
    <t>1. Attempt to attach a file in an unsupported format (e.g., .exe)</t>
  </si>
  <si>
    <t>TC_UPLOAD_06</t>
  </si>
  <si>
    <t>Uploading a file exceeding the maximum allowed size is rejected</t>
  </si>
  <si>
    <t>1. Attempt to attach a file exceeding the platform's typical size limit (e.g., 1 MB, consistent with other upload fields)</t>
  </si>
  <si>
    <t>File: oversized_attachment.pdf (10 MB)</t>
  </si>
  <si>
    <t>This is standard QA validation logic — the document explicitly notes field validations/error states were NOT directly shown in the recording (inferred from on-screen behaviour only). Confirm exact behaviour/wording against the live app during execution. Confirm the exact size limit for this field</t>
  </si>
  <si>
    <t>TC_UPLOAD_07</t>
  </si>
  <si>
    <t>Uploading a corrupted/malformed file is handled gracefully</t>
  </si>
  <si>
    <t>1. Prepare a deliberately corrupted file with a valid extension
2. Attempt to attach it</t>
  </si>
  <si>
    <t>File: corrupted.pdf</t>
  </si>
  <si>
    <t>Upload is rejected with a clear error; no server crash or unhandled exception occurs during the scan/attach process</t>
  </si>
  <si>
    <t>TC_UPLOAD_08</t>
  </si>
  <si>
    <t>Replacing an already-attached file with a new one works correctly</t>
  </si>
  <si>
    <t>1. Attach File A
2. Remove it, then attach File B
3. Submit</t>
  </si>
  <si>
    <t>Only File B is submitted with the ticket; File A is not retained</t>
  </si>
  <si>
    <t>TC_QSTATUS_01</t>
  </si>
  <si>
    <t>Support - Query Status</t>
  </si>
  <si>
    <t>Query Status grid displays all documented columns</t>
  </si>
  <si>
    <t>1. Navigate to Help &gt; Support &gt; Query Status</t>
  </si>
  <si>
    <t>Grid displays Ticket No., Query Type, Subject, Query Date, Status, Remarks, Expected Resolution Date, and Action columns</t>
  </si>
  <si>
    <t>TC_QSTATUS_02</t>
  </si>
  <si>
    <t>Query Status grid lists only tickets raised by the current entity</t>
  </si>
  <si>
    <t>1. Login as Entity A and raise a ticket
2. Login as Entity B and view Query Status</t>
  </si>
  <si>
    <t>Entity A's ticket vs Entity B's view</t>
  </si>
  <si>
    <t>Entity B's Query Status grid does not show Entity A's ticket; each entity sees only its own tickets</t>
  </si>
  <si>
    <t>TC_QSTATUS_03</t>
  </si>
  <si>
    <t>Newly raised ticket appears with Status = OPEN and correct Query Date</t>
  </si>
  <si>
    <t>1. Raise a new ticket
2. Check its entry in the Query Status grid</t>
  </si>
  <si>
    <t>New ticket shows Status = 'OPEN' and Query Date matching today's date (e.g., 02-Aug-2026)</t>
  </si>
  <si>
    <t>TC_QSTATUS_04</t>
  </si>
  <si>
    <t>Remarks and Expected Resolution Date show '-' when not yet set by support</t>
  </si>
  <si>
    <t>1. View a newly raised ticket with no support action yet</t>
  </si>
  <si>
    <t>Remarks shows '-'; Expected Resolution Date shows blank or '-', consistent with the documented default state</t>
  </si>
  <si>
    <t>TC_QSTATUS_05</t>
  </si>
  <si>
    <t>View (Action) icon opens the correct ticket's details</t>
  </si>
  <si>
    <t>1. Click the View icon on a specific ticket row</t>
  </si>
  <si>
    <t>Ticket No. 8</t>
  </si>
  <si>
    <t>Ticket detail view opens showing the correct ticket's full information, not a different ticket's</t>
  </si>
  <si>
    <t>TC_QSTATUS_06</t>
  </si>
  <si>
    <t>Query Status grid displays an appropriate empty state when no tickets have been raised</t>
  </si>
  <si>
    <t>1. View Query Status for an entity that has never raised a ticket</t>
  </si>
  <si>
    <t>No tickets raised</t>
  </si>
  <si>
    <t>An appropriate empty-state message is shown (e.g., 'No queries raised yet') rather than a blank grid</t>
  </si>
  <si>
    <t>TC_QSTATUS_07</t>
  </si>
  <si>
    <t>Subject column correctly reflects 'N/A' or the actual subject depending on data</t>
  </si>
  <si>
    <t>1. Compare a ticket where Subject was populated at creation vs one showing 'N/A' in the sample data</t>
  </si>
  <si>
    <t>Subject column accurately reflects whatever was submitted; 'N/A' only appears where genuinely no subject data exists, consistent with the observed sample</t>
  </si>
  <si>
    <t>Confirm whether 'N/A' reflects a data/display bug or intentional behaviour for older/sample tickets, since Raise Query auto-fills Subject going forward</t>
  </si>
  <si>
    <t>TC_QSTATUS_08</t>
  </si>
  <si>
    <t>Ticket No. values are sequential and unique</t>
  </si>
  <si>
    <t>1. Raise multiple tickets in succession
2. Observe their Ticket No. values</t>
  </si>
  <si>
    <t>Multiple new tickets</t>
  </si>
  <si>
    <t>Each new ticket receives a unique, sequentially incrementing Ticket No., with no duplicates or gaps under normal operation</t>
  </si>
  <si>
    <t>File uploads consistently show the malware-scanning interim state before acceptance</t>
  </si>
  <si>
    <t>1. Attach a file in the Raise Query form
2. Observe the sequence of UI states</t>
  </si>
  <si>
    <t>A 'Scanning file for malware' interim state is always shown before the file is accepted/displayed, consistent with a security-scanning step applied to all uploads</t>
  </si>
  <si>
    <t>Successful ticket submission consistently includes both the Ticket ID and entity name in the confirmation</t>
  </si>
  <si>
    <t>1. Submit a ticket successfully
2. Read the exact confirmation message</t>
  </si>
  <si>
    <t>Message follows the exact format: 'Ticket with ID: &lt;TicketID&gt; successfully raised by &lt;Entity Name&gt;'</t>
  </si>
  <si>
    <t>Character-limited fields (Subject, Query) consistently show a live running counter</t>
  </si>
  <si>
    <t>1. Type into both Subject and 'Add your query' fields
2. Observe both counters simultaneously</t>
  </si>
  <si>
    <t>Both fields show their own independent, correctly updating live character counters (Subject: X/50, Query: X/250) at all times while typing</t>
  </si>
  <si>
    <t>Find an answer via FAQ flow works end-to-end</t>
  </si>
  <si>
    <t>1. Help -&gt; FAQ tab -&gt; click a question</t>
  </si>
  <si>
    <t>Answer text expands below the question</t>
  </si>
  <si>
    <t>Review legal terms flow works end-to-end</t>
  </si>
  <si>
    <t>1. Help -&gt; Terms &amp; Conditions tab</t>
  </si>
  <si>
    <t>Terms &amp; Conditions and Privacy Policy text displayed</t>
  </si>
  <si>
    <t>Raise a support ticket flow works end-to-end</t>
  </si>
  <si>
    <t>1. Help -&gt; Support -&gt; Raise Query -&gt; select Query Type -&gt; (Subject auto-fills) -&gt; enter query -&gt; optionally attach a file -&gt; Send Request</t>
  </si>
  <si>
    <t>Complete valid submission with attachment</t>
  </si>
  <si>
    <t>Ticket created; confirmation shows Ticket ID and entity name, matching the documented flow exactly</t>
  </si>
  <si>
    <t>Check ticket status flow works end-to-end</t>
  </si>
  <si>
    <t>1. Help -&gt; Support -&gt; Query Status</t>
  </si>
  <si>
    <t>Your Queries' grid lists all tickets raised by the entity with status and dates</t>
  </si>
  <si>
    <t>Full flow: raise a new ticket, then immediately verify it appears correctly in Query Status</t>
  </si>
  <si>
    <t>1. Raise Query -&gt; submit a new ticket with specific, identifiable Query Type and query text
2. Immediately navigate to Query Status
3. Locate the new ticket</t>
  </si>
  <si>
    <t>Distinct test values</t>
  </si>
  <si>
    <t>The newly raised ticket appears in Query Status immediately, with Query Type, Subject, and Query Date accurately matching what was just submitted, and Status = OPEN</t>
  </si>
  <si>
    <t>Individual steps (raise ticket, view Query Status) were each confirmed separately in the recording, but this specific chained sequence (raise then immediately check status) was not demonstrated as one continuous flow — confirm end-to-end</t>
  </si>
  <si>
    <t>ENTITY - LIST &amp; DETAIL VIEW</t>
  </si>
  <si>
    <t>TC_ENT_EMPTY_01</t>
  </si>
  <si>
    <t>Entity - List</t>
  </si>
  <si>
    <t>Verify empty state when no entities are registered</t>
  </si>
  <si>
    <t>1. Log in with an account that has no registered business entities
2. Navigate to the Entity module</t>
  </si>
  <si>
    <t>Account with 0 entities</t>
  </si>
  <si>
    <t>Page shows 'No Entities found' message with an 'Add Entity' call-to-action; no error or broken layout</t>
  </si>
  <si>
    <t>TC_ENT_STATS_01</t>
  </si>
  <si>
    <t>Verify summary stats bar shows correct counts</t>
  </si>
  <si>
    <t>1. Navigate to the Entity module for an account with multiple entities
2. Compare 'Total Businesses', 'Approved', 'Pending PSP' tile values against the actual entity cards shown</t>
  </si>
  <si>
    <t>Total Businesses: 2, Approved: 2, Pending PSP: 1</t>
  </si>
  <si>
    <t>Tile counts accurately reflect the number of entity cards and their individual approval/PSP status</t>
  </si>
  <si>
    <t>TC_ENT_STATS_02</t>
  </si>
  <si>
    <t>Negative: Verify stats bar does not break when Total Businesses is 0</t>
  </si>
  <si>
    <t>1. View the Entity module for an account with 0 entities</t>
  </si>
  <si>
    <t>Total Businesses: 0</t>
  </si>
  <si>
    <t>Stats bar shows 0 for all tiles (or is hidden) without error; consistent with the 'No Entities found' empty state</t>
  </si>
  <si>
    <t>TC_ENT_CARD_01</t>
  </si>
  <si>
    <t>Verify each entity card displays all expected sections</t>
  </si>
  <si>
    <t>1. Navigate to the Entity module
2. Inspect an entity card (e.g. PRODUBAI AIRLINES)</t>
  </si>
  <si>
    <t>Entity: PRODUBAI AIRLINES (APPROVED)</t>
  </si>
  <si>
    <t>Card shows entity name and status badge, plus Basic Information, Verification Status, Contact Information, Stakeholders, Connected Buyers, Bank Account Information, and Uploaded Documents sections</t>
  </si>
  <si>
    <t>TC_ENT_CARD_02</t>
  </si>
  <si>
    <t>Verify approval-status badge reflects the entity's actual status</t>
  </si>
  <si>
    <t>1. Compare the badge shown on an entity card (e.g. APPROVED) against its known verification state</t>
  </si>
  <si>
    <t>Entity status: APPROVED</t>
  </si>
  <si>
    <t>Badge text and color accurately reflect the entity's current approval/PSP status (e.g. APPROVED, PENDING PSP)</t>
  </si>
  <si>
    <t>TC_ENT_CARD_03</t>
  </si>
  <si>
    <t>Verify Basic Information fields are accurate and complete</t>
  </si>
  <si>
    <t>1. Inspect the Basic Information section of an entity card</t>
  </si>
  <si>
    <t>Customer ID, License Number, Mobile, Location, Address, Currency, Created/Updated dates</t>
  </si>
  <si>
    <t>All fields display correct, non-empty values matching the entity's registered data</t>
  </si>
  <si>
    <t>TC_ENT_CARD_04</t>
  </si>
  <si>
    <t>Verify Verification Status section shows PSP and KYC verifier details</t>
  </si>
  <si>
    <t>1. Inspect the Verification Status section of an approved entity card</t>
  </si>
  <si>
    <t>PSP Verified by: Pavan Kumar, KYC Verified by: (name), Assigned dates</t>
  </si>
  <si>
    <t>Verifier name/email and assigned date are shown correctly for both PSP and KYC verification</t>
  </si>
  <si>
    <t>TC_ENT_CARD_05</t>
  </si>
  <si>
    <t>Verify Stakeholders section lists all stakeholders with correct share percentages</t>
  </si>
  <si>
    <t>1. Inspect the Stakeholders section of an entity card
2. Sum the Share Percentage values shown</t>
  </si>
  <si>
    <t>Stakeholder: HELVIN PETER SON, 38% share</t>
  </si>
  <si>
    <t>Each stakeholder's Name, DOB, Nationality, Residency, Share %, ID Type, and ID Number are shown correctly; share percentages are consistent with the 100% total rule from onboarding</t>
  </si>
  <si>
    <t>TC_ENT_CARD_06</t>
  </si>
  <si>
    <t>Verify Connected Buyers count matches the number of buyer chips shown</t>
  </si>
  <si>
    <t>1. Inspect the 'Connected Buyers (N)' header
2. Count the buyer chips listed below it</t>
  </si>
  <si>
    <t>Connected Buyers (4): NORD LOGICS, MILTON BUYERS, MANSOOR ALI BUYERS, ...</t>
  </si>
  <si>
    <t>The count in the section header exactly matches the number of buyer chips displayed</t>
  </si>
  <si>
    <t>TC_ENT_CARD_07</t>
  </si>
  <si>
    <t>Verify Bank Account Information displays all linked accounts with correct details</t>
  </si>
  <si>
    <t>1. Inspect the Bank Account Information section
2. Check each account card's Bank Name, Account Name, Account Number, IBAN, Currency</t>
  </si>
  <si>
    <t>3 accounts: FAB BANK (AED), FAB BANK (KWD), FAB BANK (USD)</t>
  </si>
  <si>
    <t>Each linked bank account is shown as its own card with correct, non-truncated details and no duplicate entries</t>
  </si>
  <si>
    <t>TC_ENT_CARD_08</t>
  </si>
  <si>
    <t>Verify Uploaded Documents section lists and allows viewing all entity documents</t>
  </si>
  <si>
    <t>1. Inspect the Uploaded Documents section
2. Click the view/download icon on a document (e.g. Commercial_License_Proof.pdf)</t>
  </si>
  <si>
    <t>Documents: Commercial_License_Proof.pdf, Articles_of_Association.pdf, sample CSV, etc.</t>
  </si>
  <si>
    <t>All uploaded documents are listed with correct file names; clicking a document's icon opens/downloads it correctly</t>
  </si>
  <si>
    <t>TC_ENT_CARD_09</t>
  </si>
  <si>
    <t>Negative: Verify a document that fails to load shows a graceful error, not a broken link</t>
  </si>
  <si>
    <t>1. Simulate or locate a document link that is broken/missing on the backend
2. Click its view/download icon</t>
  </si>
  <si>
    <t>A document with a missing/corrupted backend file reference</t>
  </si>
  <si>
    <t>A clear error/toast is shown (e.g. 'File not found'); the page does not crash or show a raw broken-link error</t>
  </si>
  <si>
    <t>TC_ENT_MULTI_01</t>
  </si>
  <si>
    <t>Verify multiple registered entities are each shown as separate, independent cards</t>
  </si>
  <si>
    <t>1. Navigate to the Entity module for an account with 2+ registered entities
2. Scroll through the page</t>
  </si>
  <si>
    <t>2 entities, e.g. two 'PRODUBAI AIRLINES (APPROVED)' cards with different Connected Buyers counts</t>
  </si>
  <si>
    <t>Each entity is rendered as its own fully independent card with its own correct data (no data bleeding between cards)</t>
  </si>
  <si>
    <t>TC_ENT_NAV_01</t>
  </si>
  <si>
    <t>Verify 'Entity' menu item is highlighted/active while on this page</t>
  </si>
  <si>
    <t>1. Navigate to the Entity module
2. Observe the left sidebar</t>
  </si>
  <si>
    <t>The 'Entity' item in the left navigation is visually highlighted as the active/selected module</t>
  </si>
  <si>
    <t>ADD ENTITY - MODAL FIELDS</t>
  </si>
  <si>
    <t>TC_ADDENT_OPEN_01</t>
  </si>
  <si>
    <t>Entity - Add Entity Modal</t>
  </si>
  <si>
    <t>Verify clicking 'Add Entity' opens the Add New Entity modal</t>
  </si>
  <si>
    <t>1. Click 'Add Entity' in the left sidebar (or on the entity list page)</t>
  </si>
  <si>
    <t>An 'Add New Entity' modal opens with fields: Business Name, Business Email Address, Business Address, City, Currency</t>
  </si>
  <si>
    <t>TC_ADDENT_NAME_01</t>
  </si>
  <si>
    <t>Enter a valid value in 'Business Name'</t>
  </si>
  <si>
    <t>1. Open Add New Entity modal
2. Enter a valid Business Name
3. Continue filling remaining fields</t>
  </si>
  <si>
    <t>Business Name: PRODUBAI AIRLINES</t>
  </si>
  <si>
    <t>Value is accepted; no validation error shown for Business Name</t>
  </si>
  <si>
    <t>TC_ADDENT_NAME_02</t>
  </si>
  <si>
    <t>Negative: Leave 'Business Name' empty and attempt to submit</t>
  </si>
  <si>
    <t>1. Open Add New Entity modal
2. Leave Business Name empty
3. Attempt to submit</t>
  </si>
  <si>
    <t>Business Name: (empty)</t>
  </si>
  <si>
    <t>Inline validation error shown: 'Business Name is required'; modal does not submit</t>
  </si>
  <si>
    <t>TC_ADDENT_EMAIL_01</t>
  </si>
  <si>
    <t>Enter a valid 'Business Email Address'</t>
  </si>
  <si>
    <t>1. Enter a valid email in Business Email Address</t>
  </si>
  <si>
    <t>Business Email Address: contact@produbaiairlines.com</t>
  </si>
  <si>
    <t>TC_ADDENT_EMAIL_02</t>
  </si>
  <si>
    <t>Negative: Enter an invalid email format in 'Business Email Address'</t>
  </si>
  <si>
    <t>1. Enter a malformed email (e.g. 'contact@', 'contact.com')
2. Attempt to submit</t>
  </si>
  <si>
    <t>Business Email Address: contact@</t>
  </si>
  <si>
    <t>Validation error shown: 'Enter a valid email address'; modal does not submit</t>
  </si>
  <si>
    <t>TC_ADDENT_ADDR_01</t>
  </si>
  <si>
    <t>Enter a valid 'Business Address'</t>
  </si>
  <si>
    <t>1. Enter a valid value in Business Address</t>
  </si>
  <si>
    <t>Business Address: PO-56 STREET, GYNE BUILDING</t>
  </si>
  <si>
    <t>TC_ADDENT_ADDR_02</t>
  </si>
  <si>
    <t>Negative: Leave 'Business Address' empty and attempt to submit</t>
  </si>
  <si>
    <t>1. Leave Business Address empty
2. Attempt to submit</t>
  </si>
  <si>
    <t>Business Address: (empty)</t>
  </si>
  <si>
    <t>Inline validation error shown: 'Business Address is required'; modal does not submit</t>
  </si>
  <si>
    <t>TC_ADDENT_CITY_01</t>
  </si>
  <si>
    <t>Enter a valid 'City'</t>
  </si>
  <si>
    <t>1. Enter a valid value in City</t>
  </si>
  <si>
    <t>City: Sydney</t>
  </si>
  <si>
    <t>TC_ADDENT_CITY_02</t>
  </si>
  <si>
    <t>Negative: Leave 'City' empty and attempt to submit</t>
  </si>
  <si>
    <t>1. Leave City empty
2. Attempt to submit</t>
  </si>
  <si>
    <t>Inline validation error shown: 'City is required'; modal does not submit</t>
  </si>
  <si>
    <t>TC_ADDENT_CUR_01</t>
  </si>
  <si>
    <t>Select a valid 'Currency' option</t>
  </si>
  <si>
    <t>1. Click the Currency dropdown
2. Select a valid option</t>
  </si>
  <si>
    <t>Currency: AED</t>
  </si>
  <si>
    <t>Selected value is accepted and retained; no validation error shown</t>
  </si>
  <si>
    <t>TC_ADDENT_CUR_02</t>
  </si>
  <si>
    <t>Negative: Leave 'Currency' unselected and attempt to submit</t>
  </si>
  <si>
    <t>1. Leave Currency at its default/placeholder state
2. Attempt to submit</t>
  </si>
  <si>
    <t>Currency: (unselected)</t>
  </si>
  <si>
    <t>Inline validation error shown: 'Currency is required'; modal does not submit</t>
  </si>
  <si>
    <t>TC_ADDENT_CANCEL_01</t>
  </si>
  <si>
    <t>Verify 'Cancel'/close (x) dismisses the modal without creating an entity</t>
  </si>
  <si>
    <t>1. Open Add New Entity modal, fill some fields
2. Click Cancel or the 'x' close icon</t>
  </si>
  <si>
    <t>Modal closes; no new entity is created and the Entity list is unchanged</t>
  </si>
  <si>
    <t>TC_ADDENT_DUP_01</t>
  </si>
  <si>
    <t>Negative: Attempt to add an entity with a Business Name that already exists on the account</t>
  </si>
  <si>
    <t>1. Enter a Business Name matching an already-registered entity
2. Attempt to submit</t>
  </si>
  <si>
    <t>Business Name: PRODUBAI AIRLINES (already exists)</t>
  </si>
  <si>
    <t>System either warns of a duplicate entity name or allows it if duplicates are permitted by design — confirm intended behaviour with BA/Dev</t>
  </si>
  <si>
    <t>Assumed — confirm exact validation rule with BA/Dev (not fully visible in recording)</t>
  </si>
  <si>
    <t>TC_ADDENT_INJ_01</t>
  </si>
  <si>
    <t>Negative: Enter script/special-character injection in 'Business Name'</t>
  </si>
  <si>
    <t>1. Enter a script/SQL injection payload in Business Name
2. Attempt to submit</t>
  </si>
  <si>
    <t>Business Name: &lt;script&gt;alert(1)&lt;/script&gt;</t>
  </si>
  <si>
    <t>DEFECT - ADD ENTITY NAVIGATION</t>
  </si>
  <si>
    <t>TC_ENT_DEFECT_01</t>
  </si>
  <si>
    <t>Entity - Add Entity (Defect)</t>
  </si>
  <si>
    <t>Verify submitting the Add New Entity modal adds the entity directly without leaving the Entity page</t>
  </si>
  <si>
    <t>1. Click 'Add Entity'
2. Fill Business Name, Business Email Address, Business Address, City, Currency with valid data
3. Submit the modal
4. Observe where the application navigates to</t>
  </si>
  <si>
    <t>Business Name: PRODUBAI AIRLINES, Address: PO-56 STREET, GYNE BUILDING, City: SYDNEY, Currency: AED</t>
  </si>
  <si>
    <t>EXPECTED: The new entity is added and appears as a new card on the Entity list page (or a scoped, correctly-rendered flow opens for that entity only).
ACTUAL (observed defect): The application redirects the user to the full multi-step Onboarding Wizard ('Welcome to AmpliFi! Let's get started') normally used for brand-new supplier registration.</t>
  </si>
  <si>
    <t>DEFECT CONFIRMED IN RECORDING – raise as a bug; expected behavior to be confirmed with BA/Product</t>
  </si>
  <si>
    <t>TC_ENT_DEFECT_02</t>
  </si>
  <si>
    <t>Verify data entered in the Add Entity modal is correctly and completely carried over if the Onboarding Wizard opens</t>
  </si>
  <si>
    <t>1. Fill the Add Entity modal (Business Name, Address, City, Currency) and submit
2. On the resulting Onboarding Wizard's Business Info step, check each pre-filled field against what was entered</t>
  </si>
  <si>
    <t>Business Name: PRODUBAI AIRLINES, Address Line 2: PO-56 STREET, GYNE BUILDING, City: SYDNEY, Country: United Arab Emirates</t>
  </si>
  <si>
    <t>If the redirect to Onboarding cannot be fixed immediately, at minimum all data entered in the Add Entity modal should be accurately and completely pre-filled into the corresponding Onboarding Wizard fields, with no data loss, mislabeling, or field overlap</t>
  </si>
  <si>
    <t>Observed: fields were pre-filled but the layout showed overlapping/garbled labels – log as a UI defect regardless of the navigation issue</t>
  </si>
  <si>
    <t>TC_ENT_DEFECT_03</t>
  </si>
  <si>
    <t>Verify the Onboarding Wizard stepper does not show multiple steps as simultaneously complete when opened via this defect</t>
  </si>
  <si>
    <t>1. Trigger the Add Entity → Onboarding Wizard redirect
2. Observe the left-hand stepper's percentage/completion indicators for Business Info, Commercial License, Articles of Association</t>
  </si>
  <si>
    <t>Only steps that are genuinely complete should show a completed indicator; the stepper should not show 10%, 20%, and 30% all appearing active/complete simultaneously</t>
  </si>
  <si>
    <t>Observed layout bug in recording – confirm with Dev whether this is a rendering glitch or a real state bug</t>
  </si>
  <si>
    <t>TC_ENT_DEFECT_04</t>
  </si>
  <si>
    <t>Verify no duplicate or orphaned entity/draft record is created if the user abandons the Onboarding Wizard reached via this defect</t>
  </si>
  <si>
    <t>1. Trigger the Add Entity → Onboarding Wizard redirect
2. Navigate away or close the browser without completing any onboarding step
3. Return to the Entity list page</t>
  </si>
  <si>
    <t>No incomplete/orphaned entity or draft record appears on the Entity list from the abandoned attempt; the account's entity count is unchanged</t>
  </si>
  <si>
    <t>TC_ENT_DEFECT_05</t>
  </si>
  <si>
    <t>Verify layout/label overlap issue on the Business Info step reached via this defect is reproducible and documented</t>
  </si>
  <si>
    <t>1. Trigger the Add Entity → Onboarding Wizard redirect
2. Inspect the Business Info step's field labels and input boxes for overlapping text</t>
  </si>
  <si>
    <t>All field labels and input boxes render cleanly with no overlapping text, consistent with the wizard's normal (non-defect) appearance</t>
  </si>
  <si>
    <t>Observed overlapping labels in recording (e.g. Address Line 2 / City fields visually merged) – log as a CSS/layout defect</t>
  </si>
  <si>
    <t>ONBOARDING - BUSINESS DETAILS - BUSINESS INFO</t>
  </si>
  <si>
    <t>ONBOARDING - BUSINESS DETAILS - COMMERCIAL LICENSE</t>
  </si>
  <si>
    <t>ONBOARDING - BUSINESS DETAILS - ARTICLES OF ASSOCIATION</t>
  </si>
  <si>
    <t>ONBOARDING - STAKEHOLDER DETAILS</t>
  </si>
  <si>
    <t>ONBOARDING - AUTHORIZED SIGNATORY DETAILS</t>
  </si>
  <si>
    <t>ONBOARDING - BANK ACCOUNT DETAILS</t>
  </si>
  <si>
    <t>ONBOARDING - ACCOUNT ADMIN DETAILS</t>
  </si>
  <si>
    <t>ONBOARDING - INVOICE TEMPLATES</t>
  </si>
  <si>
    <t>ONBOARDING - TERMS &amp; CONDITIONS</t>
  </si>
  <si>
    <t>ONBOARDING - COMPLIANCE</t>
  </si>
  <si>
    <t>ONBOARDING - REVIEW &amp; SUBMIT</t>
  </si>
  <si>
    <t>ONBOARDING - STEPPER &amp; PROGRESS</t>
  </si>
  <si>
    <t>ONBOARDING - SAVE AS DRAFT &amp; RESUME</t>
  </si>
  <si>
    <t>DASHBOARD - HOME VIEW</t>
  </si>
  <si>
    <t>TC_BDASH_BANNER_01</t>
  </si>
  <si>
    <t>Buyer Dashboard - Home</t>
  </si>
  <si>
    <t>Verify the payment-method verification banner displays for an unverified buyer</t>
  </si>
  <si>
    <t>1. Log in as a buyer that has not yet completed card/penny-transaction verification
2. Navigate to the Dashboard</t>
  </si>
  <si>
    <t>Buyer: MILTON BUYERS DUBAI (unverified)</t>
  </si>
  <si>
    <t>Banner is shown: 'To enable bulk payments, a penny transaction is required to verify your payment method...' with a 'Click to add a card &amp; complete setup' action</t>
  </si>
  <si>
    <t>TC_BDASH_BANNER_02</t>
  </si>
  <si>
    <t>Verify clicking 'Click to add a card &amp; complete setup' opens the card/payment setup flow</t>
  </si>
  <si>
    <t>1. Click 'Click to add a card &amp; complete setup' on the banner</t>
  </si>
  <si>
    <t>Card-entry / payment method setup flow opens; user can add a card to trigger the penny-transaction verification</t>
  </si>
  <si>
    <t>TC_BDASH_BANNER_03</t>
  </si>
  <si>
    <t>Verify the banner is not shown once payment method verification is complete</t>
  </si>
  <si>
    <t>1. Complete card setup and penny-transaction verification for a buyer
2. Return to the Dashboard</t>
  </si>
  <si>
    <t>Buyer: verified</t>
  </si>
  <si>
    <t>The verification banner no longer appears on the Dashboard</t>
  </si>
  <si>
    <t>TC_BDASH_BANNER_04</t>
  </si>
  <si>
    <t>Negative: Verify the penny transaction amount is auto-refunded within 24 hours as stated</t>
  </si>
  <si>
    <t>1. Complete the penny-transaction verification
2. Monitor the account/transaction history over the following 24 hours</t>
  </si>
  <si>
    <t>The penny transaction amount (e.g. 1 AED) is automatically refunded within 24 hours, consistent with the banner's stated policy</t>
  </si>
  <si>
    <t>Long-running/manual verification — schedule as a timed test</t>
  </si>
  <si>
    <t>TC_BDASH_TILES_01</t>
  </si>
  <si>
    <t>Verify Today's Activity tiles (Paid Amount, Invoice Withdrawn, Invoice Rejected, Credit Note) display correct values</t>
  </si>
  <si>
    <t>1. Navigate to the Dashboard
2. Compare each tile's value against today's actual transactions</t>
  </si>
  <si>
    <t>All four tiles show accurate, non-negative values reflecting today's activity only</t>
  </si>
  <si>
    <t>TC_BDASH_TILES_02</t>
  </si>
  <si>
    <t>Negative: Verify tiles show 0 gracefully when there is no activity for the day</t>
  </si>
  <si>
    <t>1. View the Dashboard on a day with no paid/withdrawn/rejected/credit-note activity</t>
  </si>
  <si>
    <t>All four tiles display 0 without error or a broken layout</t>
  </si>
  <si>
    <t>TC_BDASH_PEND_01</t>
  </si>
  <si>
    <t>Verify 'Pending Amount till Date' breakdown sums correctly</t>
  </si>
  <si>
    <t>1. Note the Total value
2. Sum Within Due + Within Threshold + After Threshold (and/or Over Due as applicable)
3. Compare to Total</t>
  </si>
  <si>
    <t>Total: 82.10M, Over Due: 81.41M, Within Due: 687,120, Within Threshold: 672,060, After Threshold: 81.42M</t>
  </si>
  <si>
    <t>The component figures are internally consistent with the Total shown (per the platform's aging definition); no value exceeds the Total unexpectedly</t>
  </si>
  <si>
    <t>TC_BDASH_STATS_01</t>
  </si>
  <si>
    <t>Verify Dashboard Overview stats table shows Current Period, Previous Period, and Comparison rows</t>
  </si>
  <si>
    <t>1. Navigate to the Dashboard
2. Inspect the Stats table below 'Dashboard Overview'</t>
  </si>
  <si>
    <t>Current Period: Jul 27 2026 - Aug 02 2026; Previous Period: Jul 20 2026 - Jul 26 2026</t>
  </si>
  <si>
    <t>Table shows all 3 rows (Current, Previous, Comparison) across columns: Opening Payable Balance, New Invoices, Invoice Paid, Invoice Rejected, Invoice Withdrawn, Invoice Settled Offline, Credit Note, Closing Payable Balance</t>
  </si>
  <si>
    <t>TC_BDASH_STATS_02</t>
  </si>
  <si>
    <t>Verify the period selector (e.g. Last 7 Days / Last 1 Year / All Years) updates the Stats table and charts</t>
  </si>
  <si>
    <t>1. Change the period dropdown from 'Last 7 Days' to 'Last 1 Year'
2. Observe the Stats table and both distribution charts</t>
  </si>
  <si>
    <t>Period: Last 1 Year</t>
  </si>
  <si>
    <t>Stats table date ranges, values, and both charts all update consistently to reflect the newly selected period</t>
  </si>
  <si>
    <t>TC_BDASH_STATS_03</t>
  </si>
  <si>
    <t>Verify Comparison between Periods percentage and directional arrow are calculated correctly</t>
  </si>
  <si>
    <t>1. Manually compute % change between a Current and Previous Period value
2. Compare to the displayed Comparison row value and arrow direction</t>
  </si>
  <si>
    <t>e.g. New Invoices: Current 677,120 vs Previous 5.46M → -87.59%</t>
  </si>
  <si>
    <t>Displayed percentage matches the manual calculation; the arrow direction (↑/↓) correctly reflects increase vs decrease</t>
  </si>
  <si>
    <t>TC_BDASH_STATS_04</t>
  </si>
  <si>
    <t>Negative: Verify Stats table handles a period with zero invoices gracefully</t>
  </si>
  <si>
    <t>1. Select or simulate a period with no invoice activity</t>
  </si>
  <si>
    <t>Period with 0 invoices (placeholder dates Jan 01, 1970 observed)</t>
  </si>
  <si>
    <t>All columns show 0 and Comparison shows 0.00% without error; date range does not display a broken/placeholder date to the end user (flag if 'Jan 01, 1970' is user-visible)</t>
  </si>
  <si>
    <t>Observed 'Jan 01, 1970' placeholder date in recording – confirm whether this is a display bug</t>
  </si>
  <si>
    <t>TC_BDASH_CHART_01</t>
  </si>
  <si>
    <t>Verify Payment Amount Distribution chart categories sum to the correct total</t>
  </si>
  <si>
    <t>1. Note each bar's value (Invoice to be Paid, Paid, Paid Offline, Credit Note, Disputed)
2. Cross-check against the underlying invoice data for the same period</t>
  </si>
  <si>
    <t>Invoice to be Paid: 3,060; Paid: 1,020; Paid Offline: 2,020; Credit Note: 0; Disputed: 0</t>
  </si>
  <si>
    <t>Chart values accurately reflect the invoice data for the selected period</t>
  </si>
  <si>
    <t>TC_BDASH_CHART_02</t>
  </si>
  <si>
    <t>Verify Invoice Count Distribution donut legend counts match the Payables grid status counts</t>
  </si>
  <si>
    <t>1. Note the donut legend values (Outstanding, Settled, Withdrawn, Rejected)
2. Cross-check against the Payables grid's summary tiles for the same period</t>
  </si>
  <si>
    <t>Outstanding: 38, Settled: 3, Withdrawn: 1, Rejected: 0</t>
  </si>
  <si>
    <t>Donut legend counts match the corresponding Payables tile counts for the same period/filter</t>
  </si>
  <si>
    <t>TC_BDASH_NAV_01</t>
  </si>
  <si>
    <t>Verify all left-nav Dashboard sub-items (Invoice Distribution, Reject/Withdrawn, Invoice Aging, Amount Paid, Invoice Pending, Spend Analysis, Payment Due) are reachable</t>
  </si>
  <si>
    <t>1. Click each Dashboard sub-item in turn</t>
  </si>
  <si>
    <t>Each sub-item navigates to its respective view without error, and the correct item is highlighted as active in the sidebar</t>
  </si>
  <si>
    <t>REJECT-WITHDRAWN &amp; AGING</t>
  </si>
  <si>
    <t>TC_BREJ_DONUT_01</t>
  </si>
  <si>
    <t>Reject/Withdrawn</t>
  </si>
  <si>
    <t>Verify the withdrawal/rejection reasons donut chart lists all reasons with correct Total Amount and Invoice Count</t>
  </si>
  <si>
    <t>1. Navigate to Dashboard → Reject/Withdrawn
2. Inspect the donut chart's legend and values</t>
  </si>
  <si>
    <t>Reasons: Delivery not complete, Disputed, CASS shipment, Service not requested, Weight dispute</t>
  </si>
  <si>
    <t>Each reason shows an accurate Total Amount and Invoice Count matching the underlying withdrawn/rejected invoices</t>
  </si>
  <si>
    <t>TC_BREJ_FILTER_01</t>
  </si>
  <si>
    <t>Verify the supplier filter (ALL SUPPLIERS / specific supplier) scopes the donut and aging bar chart</t>
  </si>
  <si>
    <t>1. Change the supplier filter from 'ALL SUPPLIERS' to a specific supplier (e.g. PRODUBAI AIRLINES)</t>
  </si>
  <si>
    <t>Supplier: PRODUBAI AIRLINES</t>
  </si>
  <si>
    <t>Both the reasons donut and the Days Overdue bar chart update to show only that supplier's data</t>
  </si>
  <si>
    <t>TC_BREJ_FILTER_02</t>
  </si>
  <si>
    <t>Negative: Verify selecting a supplier with zero withdrawn/rejected invoices shows an empty-state chart, not an error</t>
  </si>
  <si>
    <t>1. Select a supplier with no withdrawal/rejection history</t>
  </si>
  <si>
    <t>Supplier with 0 relevant invoices</t>
  </si>
  <si>
    <t>Charts render an empty/zero state cleanly (e.g. 'No data') without crashing or showing a malformed chart</t>
  </si>
  <si>
    <t>TC_BREJ_BAR_01</t>
  </si>
  <si>
    <t>Verify the Days Overdue bar chart buckets (1-30, 31-60, 61-90, 91+) sum to the correct totals</t>
  </si>
  <si>
    <t>1. Sum the Total Amount and Invoice Count across all 4 buckets
2. Compare to the overall withdrawn/rejected total for the current filter</t>
  </si>
  <si>
    <t>Sum of all buckets equals the total shown elsewhere (e.g. donut chart total) for the same filter scope</t>
  </si>
  <si>
    <t>TC_BAGE_INTERVAL_01</t>
  </si>
  <si>
    <t>Verify changing 'Aging Interval in Days' recalculates the bucket boundaries</t>
  </si>
  <si>
    <t>1. Navigate to Dashboard → Invoice Aging
2. Change 'Aging Interval in Days' from 30 to a different value (e.g. 15)</t>
  </si>
  <si>
    <t>Aging Interval in Days: 15</t>
  </si>
  <si>
    <t>Bucket labels and boundaries update accordingly (e.g. 1-15, 16-30, 31-45, ...), and the bar chart re-renders with the new buckets</t>
  </si>
  <si>
    <t>TC_BAGE_INTERVAL_02</t>
  </si>
  <si>
    <t>Verify changing 'Number of Intervals' adds/removes buckets correctly</t>
  </si>
  <si>
    <t>1. Change 'Number of Intervals' from 3 to 4</t>
  </si>
  <si>
    <t>Number of Intervals: 4</t>
  </si>
  <si>
    <t>An additional aging bucket appears (or is removed when decreased), and totals redistribute correctly across the new bucket count</t>
  </si>
  <si>
    <t>TC_BAGE_INTERVAL_03</t>
  </si>
  <si>
    <t>Negative: Verify entering an invalid Aging Interval (0 or negative) is rejected</t>
  </si>
  <si>
    <t>1. Enter 0 or a negative number in 'Aging Interval in Days'</t>
  </si>
  <si>
    <t>Aging Interval in Days: 0 or -10</t>
  </si>
  <si>
    <t>Validation error is shown, or the field reverts to the last valid value; chart does not break or show infinite/undefined buckets</t>
  </si>
  <si>
    <t>TC_BAGE_INTERVAL_04</t>
  </si>
  <si>
    <t>Negative: Verify entering a non-numeric value in 'Number of Intervals' is rejected</t>
  </si>
  <si>
    <t>1. Enter text (e.g. 'abc') in 'Number of Intervals'</t>
  </si>
  <si>
    <t>Number of Intervals: abc</t>
  </si>
  <si>
    <t>TC_BAGE_BAR_01</t>
  </si>
  <si>
    <t>Verify the aging bar chart's Total Amount and Invoice Count axes scale correctly for large values</t>
  </si>
  <si>
    <t>1. Observe the bar chart when a bucket contains a very large amount (e.g. 100.0M)</t>
  </si>
  <si>
    <t>Total Amount up to 100.0M</t>
  </si>
  <si>
    <t>Y-axis scales/labels (e.g. 0.01M, 1.0M, 10.0M, 100.0M) render legibly without overlap or truncation</t>
  </si>
  <si>
    <t>TC_BAGE_FILTER_01</t>
  </si>
  <si>
    <t>Verify the supplier filter on Invoice Aging behaves consistently with Reject/Withdrawn</t>
  </si>
  <si>
    <t>1. Change the supplier filter to a specific supplier</t>
  </si>
  <si>
    <t>Chart scopes to that supplier's aging data only, consistent with the Reject/Withdrawn page's filter behavior</t>
  </si>
  <si>
    <t>AMOUNT PAID, SPEND &amp; PAYMENT DUE</t>
  </si>
  <si>
    <t>TC_BPAID_TREND_01</t>
  </si>
  <si>
    <t>Amount Paid</t>
  </si>
  <si>
    <t>Verify the 'Invoice Settled (Last 1 Year)' monthly trend chart shows 12 months of data</t>
  </si>
  <si>
    <t>1. Navigate to Dashboard → Amount Paid
2. Inspect the monthly trend chart's x-axis</t>
  </si>
  <si>
    <t>Range: Aug 2025 - Aug 2026</t>
  </si>
  <si>
    <t>Chart displays one data point/bar per month across the full selected year range, with correct month labels</t>
  </si>
  <si>
    <t>TC_BPAID_RM_01</t>
  </si>
  <si>
    <t>Verify the Relationship Manager filter scopes the trend chart to that manager's invoices</t>
  </si>
  <si>
    <t>1. Select a specific Relationship Manager (e.g. Pavan Kumar) from the filter</t>
  </si>
  <si>
    <t>Relationship Manager: Pavan Kumar</t>
  </si>
  <si>
    <t>Trend chart updates to reflect only invoices/settlements associated with that manager</t>
  </si>
  <si>
    <t>TC_BPAID_RM_02</t>
  </si>
  <si>
    <t>Negative: Verify selecting a Relationship Manager with no settled invoices shows an empty chart, not an error</t>
  </si>
  <si>
    <t>1. Select a Relationship Manager with zero settled invoices in the period</t>
  </si>
  <si>
    <t>Chart renders an empty/zero state cleanly without crashing</t>
  </si>
  <si>
    <t>TC_BPAID_TABLE_01</t>
  </si>
  <si>
    <t>Verify Period / Current / Overdue / Total (Current+Overdue) table values are internally consistent</t>
  </si>
  <si>
    <t>1. Sum Current + Overdue for a period row
2. Compare to the Total (Current+Overdue) column</t>
  </si>
  <si>
    <t>2026: Current 687,120 + Overdue 81,410,272.77 = Total 82,097,392.77</t>
  </si>
  <si>
    <t>Current + Overdue equals the displayed Total for each period row</t>
  </si>
  <si>
    <t>TC_BPAID_DETAILS_01</t>
  </si>
  <si>
    <t>Verify 'All Details &gt;' link navigates to the full underlying settled-invoice list</t>
  </si>
  <si>
    <t>1. Click 'All Details &gt;' on the Amount Paid page</t>
  </si>
  <si>
    <t>User is navigated to (or shown) the detailed list of settled invoices backing the summary figures</t>
  </si>
  <si>
    <t>TC_BPEND_TREND_01</t>
  </si>
  <si>
    <t>Verify the Invoice Pending trend chart reflects only unpaid/outstanding invoices</t>
  </si>
  <si>
    <t>1. Navigate to Dashboard → Invoice Pending
2. Compare chart totals against the Payables grid's 'Outstanding Invoices' tile</t>
  </si>
  <si>
    <t>Chart figures are consistent with the Outstanding Invoices count/amount shown on the Payables screen</t>
  </si>
  <si>
    <t>TC_BSPEND_METRICS_01</t>
  </si>
  <si>
    <t>Spend Analysis</t>
  </si>
  <si>
    <t>Verify Avg Pay Days, Avg Threshold Days, and Agreed Pay Days values are calculated correctly</t>
  </si>
  <si>
    <t>1. Navigate to Dashboard → Spend Analysis
2. Manually verify Avg Pay Days against a sample of settled invoices' actual pay days</t>
  </si>
  <si>
    <t>Avg Pay Days: 2.84, Avg Threshold Days: 10, Agreed Pay Days: 10.83</t>
  </si>
  <si>
    <t>Displayed averages match manual calculation from the underlying settled invoice data within a reasonable tolerance</t>
  </si>
  <si>
    <t>TC_BSPEND_SETTLED_01</t>
  </si>
  <si>
    <t>Verify Settled Amount = Settled Before Due + Settled After Due</t>
  </si>
  <si>
    <t>1. Sum 'Settled Before Due' and 'Settled After Due'
2. Compare to 'Settled Amount'</t>
  </si>
  <si>
    <t>Settled Amount: 10,925,670.92; Before Due: 10,924,620.92; After Due: 4,050</t>
  </si>
  <si>
    <t>Before Due + After Due equals the Settled Amount total (within rounding)</t>
  </si>
  <si>
    <t>TC_BSPEND_YEAR_01</t>
  </si>
  <si>
    <t>Verify the year filter (e.g. Last 1 Year) updates all Spend Analysis metrics and charts</t>
  </si>
  <si>
    <t>1. Change the year/period filter</t>
  </si>
  <si>
    <t>Period: Last 1 Year → All Years</t>
  </si>
  <si>
    <t>All metrics (Avg Pay Days, Settled Amount, etc.) and charts recalculate consistently for the new period</t>
  </si>
  <si>
    <t>TC_BSPEND_DETAILS_01</t>
  </si>
  <si>
    <t>Verify 'All Details &gt;' link opens the full spend breakdown</t>
  </si>
  <si>
    <t>1. Click 'All Details &gt;' on the Spend Analysis page</t>
  </si>
  <si>
    <t>User is navigated to (or shown) the detailed underlying data for the spend metrics</t>
  </si>
  <si>
    <t>TC_BPAYDUE_STACK_01</t>
  </si>
  <si>
    <t>Payment Due</t>
  </si>
  <si>
    <t>Verify the Payments Due stacked bar chart shows all 6 status×aging categories</t>
  </si>
  <si>
    <t>1. Navigate to Dashboard → Payment Due
2. Inspect the stacked bar's legend</t>
  </si>
  <si>
    <t>Categories: PENDING-Overdue, PENDING-Current, PARTIALLY PAID-Overdue, PARTIALLY PAID-Current, DISPUTED-Overdue, DISPUTED-Current</t>
  </si>
  <si>
    <t>All 6 categories are present in the legend with distinct colors and accurate stacked values</t>
  </si>
  <si>
    <t>TC_BPAYDUE_YEAR_01</t>
  </si>
  <si>
    <t>Verify the year filter (e.g. ALL YEARS / Last 7 Days) updates the Payments Due chart</t>
  </si>
  <si>
    <t>1. Change the period filter on the Payments Due chart</t>
  </si>
  <si>
    <t>Period: ALL YEARS → Last 7 Days</t>
  </si>
  <si>
    <t>Stacked bar chart recalculates to reflect only the selected period's data</t>
  </si>
  <si>
    <t>TC_BPAYDUE_SUM_01</t>
  </si>
  <si>
    <t>Verify stacked bar totals per status match the Payables grid's corresponding status counts/amounts</t>
  </si>
  <si>
    <t>1. Sum PENDING-Overdue + PENDING-Current from the chart
2. Compare to the 'Outstanding Invoices' figure on the Payables grid</t>
  </si>
  <si>
    <t>Chart totals reconcile with the Payables grid's summary tiles for the same period</t>
  </si>
  <si>
    <t>TC_BPAYDUE_DETAILS_01</t>
  </si>
  <si>
    <t>Verify 'All Details &gt;' link opens the full payments-due breakdown</t>
  </si>
  <si>
    <t>1. Click 'All Details &gt;' on the Payment Due page</t>
  </si>
  <si>
    <t>User is navigated to (or shown) the detailed underlying data for payments due</t>
  </si>
  <si>
    <t>PAYABLES GRID</t>
  </si>
  <si>
    <t>TC_PAY_TILES_01</t>
  </si>
  <si>
    <t>Payables</t>
  </si>
  <si>
    <t>Verify all 7 summary tiles display accurate counts/amounts</t>
  </si>
  <si>
    <t>1. Navigate to Payables
2. Compare tile values against the grid's actual data</t>
  </si>
  <si>
    <t>Invoices Settled: 0, Partially Settled: 2, Offline Settled: 0, Outstanding: 93, Overdue: 35, Amount Received: 1,100.00, Pending Amount: 82.10M</t>
  </si>
  <si>
    <t>All 7 tiles (Invoices Settled, Partially Settled, Offline Settled, Outstanding Invoices, Overdue Invoices, Amount Received, Pending Amount) show values consistent with the grid</t>
  </si>
  <si>
    <t>TC_PAY_SEARCH_01</t>
  </si>
  <si>
    <t>Verify live search filters the grid as the user types</t>
  </si>
  <si>
    <t>1. Type an invoice number or business name substring into the filter box</t>
  </si>
  <si>
    <t>Search text: 'PRODUBAI'</t>
  </si>
  <si>
    <t>Grid instantly filters to matching rows; 'Showing X to Y of Z' updates accordingly</t>
  </si>
  <si>
    <t>TC_PAY_SEARCH_02</t>
  </si>
  <si>
    <t>Negative: Verify search with no matches shows an empty grid gracefully</t>
  </si>
  <si>
    <t>1. Type a non-existent value into the filter box</t>
  </si>
  <si>
    <t>Search text: 'ZZZ999'</t>
  </si>
  <si>
    <t>Grid shows 'Showing 0 to 0 of 0' or a 'No records found' message without error</t>
  </si>
  <si>
    <t>TC_PAY_CTXFILTER_01</t>
  </si>
  <si>
    <t>Verify the context filter (e.g. 'Filter Based on Invoices Generated in last 7 days' / 'Filter Based on Upcoming Payments') changes the default grid scope</t>
  </si>
  <si>
    <t>1. Change the context filter dropdown from one option to another</t>
  </si>
  <si>
    <t>Filter: Invoices Generated in last 7 days → Upcoming Payments</t>
  </si>
  <si>
    <t>Grid re-loads with a different default set of invoices matching the newly selected context, and the summary tiles update accordingly</t>
  </si>
  <si>
    <t>TC_PAY_COLS_01</t>
  </si>
  <si>
    <t>1. Scroll the grid horizontally from left to right</t>
  </si>
  <si>
    <t>All columns are visible in order: Business Name, Invoice Number, Invoice Date, Invoice Due Date, Invoice Settled Date, Invoice Threshold Date, Amount, Settled Amount, Due Amount, Credit Note, Currency, Agreed Pay Days, Invoice Paid Days, Paid Within Agreed Days, Paid Within Threshold Days, Invoice Over Due(days), Payment Status, Action</t>
  </si>
  <si>
    <t>TC_PAY_DUEAMT_01</t>
  </si>
  <si>
    <t>Verify Due Amount = Amount - Settled Amount - Credit Note for each row</t>
  </si>
  <si>
    <t>1. Pick a sample row
2. Manually compute Amount - Settled Amount - Credit Note
3. Compare to Due Amount</t>
  </si>
  <si>
    <t>e.g. Invoicee_02: Amount 1,020.00, Settled 1,000.00, Due 20.00</t>
  </si>
  <si>
    <t>Due Amount displayed equals the manually computed value</t>
  </si>
  <si>
    <t>TC_PAY_STATUS_01</t>
  </si>
  <si>
    <t>Verify Payment Status badges render with correct text/color for PAID and REJECTED</t>
  </si>
  <si>
    <t>1. Locate a PAID invoice and a REJECTED invoice
2. Compare badge text/color</t>
  </si>
  <si>
    <t>PAID (green), REJECTED (red)</t>
  </si>
  <si>
    <t>Badges display the correct status text and a visually distinct color per status</t>
  </si>
  <si>
    <t>TC_PAY_UPLOAD_01</t>
  </si>
  <si>
    <t>Payables - Upload Payment</t>
  </si>
  <si>
    <t>Verify 'Upload Payment ++' opens the bulk payment upload flow</t>
  </si>
  <si>
    <t>1. Click 'Upload Payment ++' at the bottom-left of the Payables grid</t>
  </si>
  <si>
    <t>Bulk payment upload interface opens, allowing the user to select/drag a payment file</t>
  </si>
  <si>
    <t>TC_PAY_UPLOAD_02</t>
  </si>
  <si>
    <t>Verify a sample 'Payment File template' can be downloaded for correct formatting</t>
  </si>
  <si>
    <t>1. Click the sample template download link/button in the Upload Payment flow</t>
  </si>
  <si>
    <t>A 'Payment File template' (.xls/.csv) downloads with the correct expected column headers</t>
  </si>
  <si>
    <t>TC_PAY_UPLOAD_03</t>
  </si>
  <si>
    <t>Verify uploading a fully valid payment file processes all rows successfully</t>
  </si>
  <si>
    <t>1. Fill the payment template with valid data for existing invoices
2. Upload the file</t>
  </si>
  <si>
    <t>Payment File template with N valid rows</t>
  </si>
  <si>
    <t>All N rows process successfully; corresponding invoices' Payment Status and Settled/Due Amounts update accordingly</t>
  </si>
  <si>
    <t>TC_PAY_UPLOAD_04</t>
  </si>
  <si>
    <t>Negative: Verify a payment file with invalid/mismatched invoice numbers produces a Failed Records file</t>
  </si>
  <si>
    <t>1. Include one or more invalid/non-existent invoice numbers in the payment file
2. Upload the file</t>
  </si>
  <si>
    <t>Payment file with 1+ invalid invoice number rows</t>
  </si>
  <si>
    <t>Valid rows are processed; invalid rows are rejected and returned in a downloadable 'Failed Records' file with a reason per row</t>
  </si>
  <si>
    <t>TC_PAY_UPLOAD_05</t>
  </si>
  <si>
    <t>Negative: Verify uploading an unsupported file format is rejected</t>
  </si>
  <si>
    <t>1. Attempt to upload a file in an unsupported format (e.g. .txt, .exe)</t>
  </si>
  <si>
    <t>Upload is rejected with a validation error indicating the allowed format(s)</t>
  </si>
  <si>
    <t>TC_PAY_UPLOAD_06</t>
  </si>
  <si>
    <t>Negative: Verify uploading an empty payment template (no data rows) is handled gracefully</t>
  </si>
  <si>
    <t>1. Upload the template file with headers only, no data rows</t>
  </si>
  <si>
    <t>Empty payment template</t>
  </si>
  <si>
    <t>System shows a clear message (e.g. 'No records found in file') rather than crashing or silently doing nothing</t>
  </si>
  <si>
    <t>TC_PAY_PAGINATION_01</t>
  </si>
  <si>
    <t>Verify pagination controls and page-size dropdown function correctly</t>
  </si>
  <si>
    <t>1. Navigate through multiple pages
2. Change the page-size dropdown</t>
  </si>
  <si>
    <t>Total records: 93</t>
  </si>
  <si>
    <t>Pagination updates 'Showing X to Y of Z' accurately; page-size changes recalculate the number of pages correctly</t>
  </si>
  <si>
    <t>TC_PAY_EXPORT_01</t>
  </si>
  <si>
    <t>Verify the grid respects the active context filter and search when exporting (if export is available)</t>
  </si>
  <si>
    <t>1. Apply a context filter and/or search
2. Export the grid (if an export control exists)</t>
  </si>
  <si>
    <t>Exported file contains only the filtered/searched records, not the full unfiltered dataset</t>
  </si>
  <si>
    <t>Confirm whether an export control exists on Payables – not clearly visible in this recording</t>
  </si>
  <si>
    <t>CALCULATION &amp; RECONCILIATION</t>
  </si>
  <si>
    <t>TC_CALC_DUEAMT_01</t>
  </si>
  <si>
    <t>Payables - Grid Calculation</t>
  </si>
  <si>
    <t>Verify Due Amount = Amount − Settled Amount − Credit Note for every row</t>
  </si>
  <si>
    <t>1. Pick 5 sample rows across different Payment Statuses (PAID, PARTIALLY PAID, PENDING)
2. For each, compute Amount − Settled Amount − Credit Note
3. Compare to the displayed Due Amount</t>
  </si>
  <si>
    <t>e.g. Invoicee_02: Amount 1,020.00, Settled 1,000.00, Credit Note 0, expected Due = 20.00</t>
  </si>
  <si>
    <t>Displayed Due Amount equals Amount − Settled Amount − Credit Note for every sampled row, with no rounding drift</t>
  </si>
  <si>
    <t>TC_CALC_DUEAMT_02</t>
  </si>
  <si>
    <t>Negative: Verify Due Amount never goes negative even if Settled Amount + Credit Note exceeds Amount (overpayment/over-credit edge case)</t>
  </si>
  <si>
    <t>1. Identify or simulate an invoice where Settled Amount + Credit Note &gt; Amount
2. Inspect the Due Amount shown</t>
  </si>
  <si>
    <t>Amount: 1,000; Settled: 900; Credit Note: 200 (total 1,100 &gt; 1,000)</t>
  </si>
  <si>
    <t>Due Amount displays as 0 (or a clearly flagged overpayment state), never a negative number silently shown as-is</t>
  </si>
  <si>
    <t>Confirm intended handling of over-settlement with BA/Dev – not observed directly in recording</t>
  </si>
  <si>
    <t>TC_CALC_TILE_PENDING_01</t>
  </si>
  <si>
    <t>Payables - Tile Calculation</t>
  </si>
  <si>
    <t>Verify 'Pending Amount' tile equals the sum of Due Amount across all outstanding invoices</t>
  </si>
  <si>
    <t>1. Export or manually sum the Due Amount column for all non-fully-settled invoices in the grid
2. Compare to the 'Pending Amount' tile value</t>
  </si>
  <si>
    <t>Pending Amount tile: 82.10 M</t>
  </si>
  <si>
    <t>Sum of all Due Amounts reconciles with the 'Pending Amount' tile (within rounding/abbreviation tolerance)</t>
  </si>
  <si>
    <t>TC_CALC_TILE_RECEIVED_01</t>
  </si>
  <si>
    <t>Verify 'Amount Received' tile equals the sum of Settled Amount across all invoices in scope</t>
  </si>
  <si>
    <t>1. Sum the Settled Amount column across all invoices in the current filter
2. Compare to the 'Amount Received' tile</t>
  </si>
  <si>
    <t>Amount Received tile: 1,100.00</t>
  </si>
  <si>
    <t>Sum of Settled Amounts reconciles with the 'Amount Received' tile for the same filter scope</t>
  </si>
  <si>
    <t>TC_CALC_TILE_COUNTS_01</t>
  </si>
  <si>
    <t>Verify Invoices Settled + Partially Settled + Offline Settled + Outstanding = total invoice count shown by pagination</t>
  </si>
  <si>
    <t>1. Sum the 4 status-count tiles (Invoices Settled, Partially Settled, Offline Settled, Outstanding Invoices)
2. Compare to the total record count in 'Showing X to Y of Z'</t>
  </si>
  <si>
    <t>0 + 2 + 0 + 93 = 95 vs grid total Z</t>
  </si>
  <si>
    <t>The sum of status-count tiles equals the total invoice count for the current filter (accounting for any status categories not shown as a tile, e.g. Rejected/Withdrawn, which should be confirmed and reconciled)</t>
  </si>
  <si>
    <t>Confirm whether Rejected/Withdrawn invoices are included in this total – clarify tile definitions with BA</t>
  </si>
  <si>
    <t>TC_CALC_PERIOD_ROLLFWD_01</t>
  </si>
  <si>
    <t>Dashboard - Stats Table Calculation</t>
  </si>
  <si>
    <t>Verify Closing Payable Balance = Opening Payable Balance + New Invoices − Invoice Paid − Invoice Withdrawn − Credit Note (roll-forward formula)</t>
  </si>
  <si>
    <t>1. Take the Current Period row from the Dashboard Overview Stats table
2. Apply the roll-forward formula using Opening Payable Balance, New Invoices, Invoice Paid, Invoice Withdrawn, Credit Note
3. Compare the computed value to the displayed Closing Payable Balance</t>
  </si>
  <si>
    <t>Opening 81.44M + New 677,120 − Paid 7,140 − Withdrawn 5,080 − Credit Note 2,020 ≈ Closing 82.10M</t>
  </si>
  <si>
    <t>Computed Closing Payable Balance matches the displayed value within rounding; confirm exact formula (whether Invoice Rejected also factors in) with BA/Dev</t>
  </si>
  <si>
    <t>Formula inferred from available columns – confirm exact roll-forward logic (role of Invoice Rejected and Invoice Settled Offline) with BA/Dev</t>
  </si>
  <si>
    <t>TC_CALC_PERIOD_ROLLFWD_02</t>
  </si>
  <si>
    <t>Verify the Previous Period's Closing Payable Balance equals the Current Period's Opening Payable Balance</t>
  </si>
  <si>
    <t>1. Compare Previous Period's 'Closing Payable Balance' value to Current Period's 'Opening Payable Balance' value</t>
  </si>
  <si>
    <t>Previous Period Closing: 81.44M; Current Period Opening: 81.44M</t>
  </si>
  <si>
    <t>The two values are identical, confirming the periods chain together correctly with no gap or double-count</t>
  </si>
  <si>
    <t>TC_CALC_COMPARISON_PCT_01</t>
  </si>
  <si>
    <t>Dashboard - Comparison Calculation</t>
  </si>
  <si>
    <t>Verify Comparison-between-Periods percentage = (Current − Previous) / Previous × 100</t>
  </si>
  <si>
    <t>1. Pick 3 columns from the Stats table (e.g. New Invoices, Invoice Paid, Credit Note)
2. Manually compute % change using (Current − Previous)/Previous × 100
3. Compare to the displayed Comparison row and arrow direction</t>
  </si>
  <si>
    <t>New Invoices: Current 677,120, Previous 5.46M → expected ≈ -87.59%</t>
  </si>
  <si>
    <t>Displayed percentage matches manual calculation to within rounding, and the ↑/↓ arrow correctly matches the sign of the change</t>
  </si>
  <si>
    <t>TC_CALC_COMPARISON_PCT_02</t>
  </si>
  <si>
    <t>Negative: Verify Comparison percentage handles a Previous Period value of zero (division-by-zero edge case)</t>
  </si>
  <si>
    <t>1. Locate or simulate a column where Previous Period = 0 and Current Period &gt; 0 (e.g. Invoice Rejected: Previous 0, Current 100)</t>
  </si>
  <si>
    <t>Previous: 0, Current: 100</t>
  </si>
  <si>
    <t>System displays a sensible result (e.g. '100.00%', 'N/A', or '—') instead of an error, 'Infinity', 'NaN', or a broken layout</t>
  </si>
  <si>
    <t>TC_CALC_COMPARISON_PCT_03</t>
  </si>
  <si>
    <t>Negative: Verify Comparison percentage when both Current and Previous are zero</t>
  </si>
  <si>
    <t>1. Locate or simulate a column where both Current and Previous Period = 0</t>
  </si>
  <si>
    <t>Current: 0, Previous: 0</t>
  </si>
  <si>
    <t>System displays 0.00% (not NaN or a broken value) with no directional arrow, or an appropriately neutral indicator</t>
  </si>
  <si>
    <t>TC_CALC_AGING_SUM_01</t>
  </si>
  <si>
    <t>Invoice Aging - Chart Calculation</t>
  </si>
  <si>
    <t>Verify the sum of Total Amount across all aging buckets (1-30, 31-60, 61-90, 91+) equals the overall Overdue total</t>
  </si>
  <si>
    <t>1. Sum the Total Amount bar values across all 4 aging buckets
2. Compare to the 'Over Due' figure in Pending Amount till Date (or the equivalent overdue total for the current filter)</t>
  </si>
  <si>
    <t>Sum of all bucket amounts reconciles with the overall overdue total for the same supplier/period filter</t>
  </si>
  <si>
    <t>TC_CALC_AGING_SUM_02</t>
  </si>
  <si>
    <t>Verify the sum of Invoice Count across all aging buckets equals the 'Overdue Invoices' tile on Payables</t>
  </si>
  <si>
    <t>1. Sum the Invoice Count bar values across all 4 aging buckets
2. Compare to the 'Overdue Invoices' tile on the Payables grid</t>
  </si>
  <si>
    <t>Overdue Invoices tile: 35</t>
  </si>
  <si>
    <t>Sum of bucket invoice counts equals the Overdue Invoices tile value for the same filter scope</t>
  </si>
  <si>
    <t>TC_CALC_DONUT_SUM_01</t>
  </si>
  <si>
    <t>Dashboard - Chart Calculation</t>
  </si>
  <si>
    <t>Verify Invoice Count Distribution donut (Outstanding + Settled + Withdrawn + Rejected) equals total invoice count for the period</t>
  </si>
  <si>
    <t>1. Sum the 4 donut legend values
2. Compare to the total New Invoices (or total invoice count) for the same period</t>
  </si>
  <si>
    <t>Outstanding 38 + Settled 3 + Withdrawn 1 + Rejected 0 = 42</t>
  </si>
  <si>
    <t>The sum of donut categories reconciles with the period's total invoice count shown elsewhere on the Dashboard/Payables</t>
  </si>
  <si>
    <t>TC_CALC_BARCHART_SUM_01</t>
  </si>
  <si>
    <t>Verify Payment Amount Distribution bar total (Invoice to be Paid + Paid + Paid Offline + Credit Note + Disputed) reconciles with the period's total invoice amount</t>
  </si>
  <si>
    <t>1. Sum the 5 bar values on the Payment Amount Distribution chart
2. Compare to the total invoice amount for the same period (New Invoices + prior outstanding, as applicable)</t>
  </si>
  <si>
    <t>3,060 + 1,020 + 2,020 + 0 + 0 = 6,100</t>
  </si>
  <si>
    <t>Sum of chart categories reconciles with the expected total for the selected period; confirm exact base total definition with BA if mismatched</t>
  </si>
  <si>
    <t>TC_CALC_STACKEDBAR_SUM_01</t>
  </si>
  <si>
    <t>Payment Due - Chart Calculation</t>
  </si>
  <si>
    <t>Verify Payments Due stacked bar (PENDING + PARTIALLY PAID + DISPUTED, Overdue+Current each) sums to the Pending Amount tile</t>
  </si>
  <si>
    <t>1. Sum all 6 stacked categories (PENDING-Overdue, PENDING-Current, PARTIALLY PAID-Overdue, PARTIALLY PAID-Current, DISPUTED-Overdue, DISPUTED-Current)
2. Compare to the 'Pending Amount' tile on Payables for the same period</t>
  </si>
  <si>
    <t>Sum of all 6 stacked categories equals the Pending Amount tile value for the same filter/period</t>
  </si>
  <si>
    <t>TC_CALC_AVGPAYDAYS_01</t>
  </si>
  <si>
    <t>Spend Analysis - Metric Calculation</t>
  </si>
  <si>
    <t>Verify Avg Pay Days = average of Invoice Paid Days across all settled invoices in the period</t>
  </si>
  <si>
    <t>1. Take Invoice Paid Days for all settled invoices in the selected period
2. Compute the arithmetic mean
3. Compare to the displayed 'Avg Pay Days'</t>
  </si>
  <si>
    <t>Avg Pay Days displayed: 2.84</t>
  </si>
  <si>
    <t>Manually computed average matches the displayed Avg Pay Days within rounding tolerance</t>
  </si>
  <si>
    <t>TC_CALC_AVGPAYDAYS_02</t>
  </si>
  <si>
    <t>Negative: Verify Avg Pay Days handles a period with zero settled invoices without dividing by zero</t>
  </si>
  <si>
    <t>1. Select a period/filter with 0 settled invoices</t>
  </si>
  <si>
    <t>0 settled invoices in period</t>
  </si>
  <si>
    <t>Avg Pay Days displays as 0, '—', or 'N/A' rather than an error, NaN, or a crashed chart</t>
  </si>
  <si>
    <t>TC_CALC_SETTLEDSPLIT_01</t>
  </si>
  <si>
    <t>Verify Settled Amount = Settled Before Due + Settled After Due exactly</t>
  </si>
  <si>
    <t>Before Due + After Due = 10,928,670.92 – verify this reconciles with Settled Amount; flag any discrepancy for investigation</t>
  </si>
  <si>
    <t>Note: sample data in recording shows Before+After (10,928,670.92) slightly exceeding Settled Amount (10,925,670.92) – flag as a potential rounding/data discrepancy to verify</t>
  </si>
  <si>
    <t>TC_CALC_CURROVERDUE_01</t>
  </si>
  <si>
    <t>Amount Paid - Table Calculation</t>
  </si>
  <si>
    <t>Verify Total (Current+Overdue) = Current + Overdue for each period row</t>
  </si>
  <si>
    <t>1. Sum the Current and Overdue columns for the 2026 row
2. Compare to the Total (Current+Overdue) column</t>
  </si>
  <si>
    <t>Current: 687,120; Overdue: 81,410,272.77; Total: 82,097,392.77</t>
  </si>
  <si>
    <t>687,120 + 81,410,272.77 = 82,097,392.77, matching the displayed Total exactly</t>
  </si>
  <si>
    <t>TC_CALC_CURRENCY_ROUND_01</t>
  </si>
  <si>
    <t>Dashboard-wide - Display Calculation</t>
  </si>
  <si>
    <t>Verify large amounts are abbreviated (K/M) consistently and accurately across tiles and charts</t>
  </si>
  <si>
    <t>1. Compare a raw amount (e.g. 82,097,392.77) to its abbreviated tile display (e.g. '82.10 M')
2. Repeat for a few other values across tiles and charts</t>
  </si>
  <si>
    <t>82,097,392.77 → displayed as 82.10 M</t>
  </si>
  <si>
    <t>Abbreviation rounds to 2 decimal places consistently (e.g. always M for millions, K for thousands) and is mathematically consistent with the underlying raw value across all tiles/charts</t>
  </si>
  <si>
    <t>TC_CALC_CURRENCY_ROUND_02</t>
  </si>
  <si>
    <t>Negative: Verify a value just below a threshold (e.g. 999,999) does not incorrectly round up to the next unit (e.g. 1.00 M)</t>
  </si>
  <si>
    <t>1. Locate or simulate a value just under 1,000,000 (e.g. 999,999)
2. Inspect its tile/chart display</t>
  </si>
  <si>
    <t>Raw value: 999,999</t>
  </si>
  <si>
    <t>Value displays as '1000.00 K' or '0.9999... M' per the platform's defined rounding rule – not silently misrounded to exactly '1.00 M' if that would misrepresent the underlying figure</t>
  </si>
  <si>
    <t>Confirm exact rounding/display rule with BA/Dev – edge case not directly observed in recording</t>
  </si>
  <si>
    <t>SUPPLIERS</t>
  </si>
  <si>
    <t>TC_SUP_NAV_01</t>
  </si>
  <si>
    <t>Suppliers</t>
  </si>
  <si>
    <t>Verify the 'Suppliers' menu item navigates to a Suppliers list page</t>
  </si>
  <si>
    <t>1. Click 'Suppliers' in the left navigation</t>
  </si>
  <si>
    <t>A Suppliers list page loads without error, showing the buyer's connected suppliers</t>
  </si>
  <si>
    <t>Detailed page content was not clearly visible in the recording – confirm actual columns/layout separately</t>
  </si>
  <si>
    <t>TC_SUP_NAV_02</t>
  </si>
  <si>
    <t>Negative: Verify Suppliers page shows an empty state gracefully if no suppliers are connected</t>
  </si>
  <si>
    <t>1. View the Suppliers page for a buyer with 0 connected suppliers</t>
  </si>
  <si>
    <t>An empty-state message is shown instead of a blank/broken page</t>
  </si>
  <si>
    <t>Assumed pattern consistent with other empty states in FlexCapPro – confirm exact wording</t>
  </si>
  <si>
    <t>TC-FUNC-001</t>
  </si>
  <si>
    <t>Summary Tiles</t>
  </si>
  <si>
    <t>Verify Suppliers page loads with all four summary tiles</t>
  </si>
  <si>
    <t>Precondition: User is logged in as Buyer entity (e.g. MILTON BUYERS DUBAI)
Steps:
1. Log in as Buyer
2. Navigate to Suppliers module</t>
  </si>
  <si>
    <t>Buyer entity: MILTON BUYERS DUBAI</t>
  </si>
  <si>
    <t>Page loads showing Total Suppliers, Healthy Suppliers, Need Attention, and Critical Issues tiles with correct counts</t>
  </si>
  <si>
    <t>TC-FUNC-002</t>
  </si>
  <si>
    <t>Verify Total Suppliers tile count matches number of rows in Suppliers grid</t>
  </si>
  <si>
    <t>Precondition: Suppliers module is loaded
Steps:
1. Navigate to Suppliers
2. Count rows in grid
3. Compare with Total Suppliers tile value</t>
  </si>
  <si>
    <t>Tile count equals number of supplier rows displayed in the grid</t>
  </si>
  <si>
    <t>TC-FUNC-003</t>
  </si>
  <si>
    <t>Verify Healthy Suppliers tile reflects count of GOOD health suppliers only</t>
  </si>
  <si>
    <t>Precondition: Suppliers module is loaded with mixed health statuses
Steps:
1. Navigate to Suppliers
2. Filter/count suppliers with GOOD badge
3. Compare with Healthy Suppliers tile</t>
  </si>
  <si>
    <t>Tile value equals number of suppliers with GOOD health badge</t>
  </si>
  <si>
    <t>TC-FUNC-004</t>
  </si>
  <si>
    <t>Search</t>
  </si>
  <si>
    <t>Verify Search Suppliers box filters grid live by supplier name</t>
  </si>
  <si>
    <t>Precondition: Suppliers grid has multiple supplier rows
Steps:
1. Enter a valid supplier name (e.g. 'PRODUBAI') in Search Suppliers box</t>
  </si>
  <si>
    <t>Search text: PRODUBAI</t>
  </si>
  <si>
    <t>Grid updates live to show only suppliers matching the entered name</t>
  </si>
  <si>
    <t>TC-FUNC-005</t>
  </si>
  <si>
    <t>Verify searching for a non-existent supplier name returns no rows</t>
  </si>
  <si>
    <t>Precondition: Suppliers grid is loaded
Steps:
1. Enter a supplier name that does not exist (e.g. 'ZZZNOTAREALSUPPLIER')</t>
  </si>
  <si>
    <t>Search text: ZZZNOTAREALSUPPLIER</t>
  </si>
  <si>
    <t>Grid shows an empty state / no matching results, no error thrown</t>
  </si>
  <si>
    <t>TC-FUNC-006</t>
  </si>
  <si>
    <t>Status Criteria</t>
  </si>
  <si>
    <t>Verify 'Status Criteria Reference' link opens the Health Criteria popover</t>
  </si>
  <si>
    <t>Precondition: Suppliers module is loaded
Steps:
1. Click 'Click here to know the Status Criteria Reference' link</t>
  </si>
  <si>
    <t>Health Criteria Reference popover opens displaying GOOD/AVERAGE/POOR threshold table</t>
  </si>
  <si>
    <t>TC-FUNC-007</t>
  </si>
  <si>
    <t>Verify popover displays correct threshold values for GOOD, AVERAGE, POOR</t>
  </si>
  <si>
    <t>Precondition: Health Criteria popover is open
Steps:
1. Review Overall Settlement, Payment in Threshold, Pending Payment, Pending Threshold columns for each status</t>
  </si>
  <si>
    <t>Values match documented thresholds (GOOD &gt;80% settlement, etc.)</t>
  </si>
  <si>
    <t>TC-FUNC-008</t>
  </si>
  <si>
    <t>Grid / Row Expansion</t>
  </si>
  <si>
    <t>Verify clicking a supplier row expands Settlement Timeline, Pending Analysis, and Health Overview panels</t>
  </si>
  <si>
    <t>Precondition: Suppliers grid has at least one supplier row
Steps:
1. Click on a supplier row</t>
  </si>
  <si>
    <t>Row expands inline showing all three sub-panels with correct data</t>
  </si>
  <si>
    <t>TC-FUNC-009</t>
  </si>
  <si>
    <t>Verify clicking an expanded supplier row again collapses the panel</t>
  </si>
  <si>
    <t>Precondition: A supplier row is currently expanded
Steps:
1. Click the expanded supplier row again</t>
  </si>
  <si>
    <t>Panel collapses back to the standard grid row</t>
  </si>
  <si>
    <t>TC-FUNC-010</t>
  </si>
  <si>
    <t>Grid</t>
  </si>
  <si>
    <t>Verify Health badge shows 'NO DATA' for a supplier with zero invoices</t>
  </si>
  <si>
    <t>Precondition: A supplier exists with zero invoices
Steps:
1. Navigate to Suppliers grid
2. Locate supplier with 0 invoices</t>
  </si>
  <si>
    <t>Supplier with Total Invoices = 0</t>
  </si>
  <si>
    <t>Health column shows 'NO DATA' badge instead of GOOD/AVERAGE/POOR</t>
  </si>
  <si>
    <t>TC-FUNC-011</t>
  </si>
  <si>
    <t>Supplier Detail</t>
  </si>
  <si>
    <t>Verify selecting a supplier opens the Supplier Detail drill-down view</t>
  </si>
  <si>
    <t>Precondition: Suppliers grid is loaded
Steps:
1. Click on a supplier name or its action icon</t>
  </si>
  <si>
    <t>Detail view opens scoped to that supplier with Invoices Count, Total Invoice Amount, Total Settled Amount, Withdrawn Count/Amount, and Pending Amount tiles</t>
  </si>
  <si>
    <t>TC-FUNC-012</t>
  </si>
  <si>
    <t>Verify supplier-scoped invoice grid displays Invoice Number, Date, Due Date, Amount, Currency, Overdue days, and Payment Status</t>
  </si>
  <si>
    <t>Precondition: Supplier Detail view is open
Steps:
1. Review the invoice grid below the tiles</t>
  </si>
  <si>
    <t>All listed columns are present and populated correctly for the selected supplier</t>
  </si>
  <si>
    <t>TC-FUNC-013</t>
  </si>
  <si>
    <t>Verify search/filter within the supplier-scoped invoice grid works correctly</t>
  </si>
  <si>
    <t>Precondition: Supplier Detail view is open with multiple invoices
Steps:
1. Enter an invoice number in the search/filter field</t>
  </si>
  <si>
    <t>Sample invoice number</t>
  </si>
  <si>
    <t>Grid filters live to show only the matching invoice(s)</t>
  </si>
  <si>
    <t>TC-FUNC-014</t>
  </si>
  <si>
    <t>Verify pagination works correctly on the supplier-scoped invoice grid</t>
  </si>
  <si>
    <t>Precondition: Supplier has invoice count exceeding one page
Steps:
1. Navigate to next page in invoice grid</t>
  </si>
  <si>
    <t>Next set of invoices loads correctly without duplication or data loss</t>
  </si>
  <si>
    <t>TC-FUNC-015</t>
  </si>
  <si>
    <t>Edit Supplier</t>
  </si>
  <si>
    <t>Verify selecting a supplier opens read-only summary panel before edit</t>
  </si>
  <si>
    <t>Precondition: Suppliers grid is loaded
Steps:
1. Select a supplier
2. Observe summary panel</t>
  </si>
  <si>
    <t>Read-only panel shows Business Name, City, Commercial License Number, Country, TRN Number, Business Email, Supplier Unique ID</t>
  </si>
  <si>
    <t>TC-FUNC-016</t>
  </si>
  <si>
    <t>Verify 'Edit Supplier &gt;' link opens the editable Update Details form pre-filled with existing data</t>
  </si>
  <si>
    <t>Precondition: Read-only supplier summary panel is open
Steps:
1. Click 'Edit Supplier &gt;' link</t>
  </si>
  <si>
    <t>Editable form opens with all fields pre-populated with the supplier's current values</t>
  </si>
  <si>
    <t>TC-FUNC-017</t>
  </si>
  <si>
    <t>Verify updating a supplier field and saving persists the change</t>
  </si>
  <si>
    <t>Precondition: Edit Supplier form is open
Steps:
1. Modify a field (e.g. Mobile Number)
2. Save the form</t>
  </si>
  <si>
    <t>New mobile number</t>
  </si>
  <si>
    <t>Change is saved and reflected when the supplier record is reopened</t>
  </si>
  <si>
    <t>TC-FUNC-018</t>
  </si>
  <si>
    <t>Add Supplier</t>
  </si>
  <si>
    <t>Verify 'Add Supplier +' button opens the 'Add New Supplier' modal</t>
  </si>
  <si>
    <t>Precondition: Suppliers module is loaded
Steps:
1. Click 'Add Supplier +' button</t>
  </si>
  <si>
    <t>Add New Supplier' modal opens with all required fields</t>
  </si>
  <si>
    <t>TC-FUNC-019</t>
  </si>
  <si>
    <t>Verify submitting Add Supplier form with all mandatory fields creates a new supplier and it appears in the grid</t>
  </si>
  <si>
    <t>Precondition: Add New Supplier modal is open
Steps:
1. Fill all mandatory fields with valid data
2. Click 'Add Supplier &gt;'</t>
  </si>
  <si>
    <t>Valid supplier business name, license no., TRN, unique ID, email, country</t>
  </si>
  <si>
    <t>New supplier is created and appears as a new row in the Suppliers grid</t>
  </si>
  <si>
    <t>TC-FUNC-020</t>
  </si>
  <si>
    <t>Verify Add Supplier modal can be closed/cancelled without creating a record</t>
  </si>
  <si>
    <t>Precondition: Add New Supplier modal is open with partial data entered
Steps:
1. Click close/cancel on the modal</t>
  </si>
  <si>
    <t>Partial form data</t>
  </si>
  <si>
    <t>Modal closes without creating a supplier record; no data is saved</t>
  </si>
  <si>
    <t>TC-FUNC-021</t>
  </si>
  <si>
    <t>Data Scoping</t>
  </si>
  <si>
    <t>Verify the buyer's own entity does not appear as a self-referencing row in its own Suppliers grid</t>
  </si>
  <si>
    <t>Precondition: Buyer is logged into own entity (e.g. MILTON BUYERS DUBAI)
Steps:
1. Navigate to Suppliers grid
2. Check for a row matching the logged-in buyer's own name</t>
  </si>
  <si>
    <t>Buyer's own entity should NOT appear as a supplier row (flagged as possible data-scoping defect if it does)</t>
  </si>
  <si>
    <t>TC-FUNC-022</t>
  </si>
  <si>
    <t>Verify Actions column icons (view/edit) are clickable and navigate to the correct screen</t>
  </si>
  <si>
    <t>Precondition: Suppliers grid has at least one row
Steps:
1. Click the view/edit icon in the Actions column for a supplier</t>
  </si>
  <si>
    <t>Correct screen (Supplier Detail or Edit Supplier) opens for that supplier</t>
  </si>
  <si>
    <t>TC-VAL-001</t>
  </si>
  <si>
    <t>Verify error is shown when Supplier Business Name is left blank</t>
  </si>
  <si>
    <t>Precondition: Add New Supplier modal is open
Steps:
1. Leave Supplier Business Name blank
2. Click 'Add Supplier &gt;'</t>
  </si>
  <si>
    <t>Business Name: (blank)</t>
  </si>
  <si>
    <t>Inline error 'Supplier Business Name is required.' is displayed; form is not submitted</t>
  </si>
  <si>
    <t>TC-VAL-002</t>
  </si>
  <si>
    <t>Verify Add Supplier is accepted when a valid Business Name is entered</t>
  </si>
  <si>
    <t>Precondition: Add New Supplier modal is open
Steps:
1. Enter a valid Supplier Business Name
2. Fill remaining mandatory fields
3. Click 'Add Supplier &gt;'</t>
  </si>
  <si>
    <t>No validation error for Business Name; field value accepted</t>
  </si>
  <si>
    <t>TC-VAL-003</t>
  </si>
  <si>
    <t>Verify error is shown when Supplier Commercial License No. is left blank</t>
  </si>
  <si>
    <t>Precondition: Add New Supplier modal is open
Steps:
1. Leave Commercial License No. blank
2. Click 'Add Supplier &gt;'</t>
  </si>
  <si>
    <t>License No.: (blank)</t>
  </si>
  <si>
    <t>Required field validation error is displayed; form is not submitted</t>
  </si>
  <si>
    <t>TC-VAL-004</t>
  </si>
  <si>
    <t>Verify error is shown when Supplier TRN Number is left blank</t>
  </si>
  <si>
    <t>Precondition: Add New Supplier modal is open
Steps:
1. Leave TRN Number blank
2. Click 'Add Supplier &gt;'</t>
  </si>
  <si>
    <t>TRN Number: (blank)</t>
  </si>
  <si>
    <t>TC-VAL-005</t>
  </si>
  <si>
    <t>Verify error is shown when Supplier Unique ID is left blank</t>
  </si>
  <si>
    <t>Precondition: Add New Supplier modal is open
Steps:
1. Leave Supplier Unique ID blank
2. Click 'Add Supplier &gt;'</t>
  </si>
  <si>
    <t>Unique ID: (blank)</t>
  </si>
  <si>
    <t>TC-VAL-006</t>
  </si>
  <si>
    <t>Verify error is shown when Supplier Email is left blank</t>
  </si>
  <si>
    <t>Precondition: Add New Supplier modal is open
Steps:
1. Leave Supplier Email blank
2. Click 'Add Supplier &gt;'</t>
  </si>
  <si>
    <t>Email: (blank)</t>
  </si>
  <si>
    <t>TC-VAL-007</t>
  </si>
  <si>
    <t>Verify error is shown when Supplier Email is entered in an invalid format</t>
  </si>
  <si>
    <t>Precondition: Add New Supplier modal is open
Steps:
1. Enter an invalid email format (e.g. 'abc@')
2. Click 'Add Supplier &gt;'</t>
  </si>
  <si>
    <t>Email: abc@</t>
  </si>
  <si>
    <t>Validation error indicating invalid email format is displayed; form is not submitted</t>
  </si>
  <si>
    <t>TC-VAL-008</t>
  </si>
  <si>
    <t>Verify Add Supplier is accepted when a valid email format is entered</t>
  </si>
  <si>
    <t>Precondition: Add New Supplier modal is open
Steps:
1. Enter a valid email (e.g. 'contact@produbai.com')
2. Fill remaining mandatory fields
3. Click 'Add Supplier &gt;'</t>
  </si>
  <si>
    <t>Email: contact@produbai.com</t>
  </si>
  <si>
    <t>No validation error for Email field; value accepted</t>
  </si>
  <si>
    <t>TC-VAL-009</t>
  </si>
  <si>
    <t>Verify error 'Enter a valid country name' is shown for an invalid/unrecognized Country value</t>
  </si>
  <si>
    <t>Precondition: Add New Supplier modal is open
Steps:
1. Enter an invalid/unrecognized value in Country field
2. Click 'Add Supplier &gt;'</t>
  </si>
  <si>
    <t>Country: XYZLAND</t>
  </si>
  <si>
    <t>Inline error 'Enter a valid country name' is displayed; form is not submitted</t>
  </si>
  <si>
    <t>TC-VAL-010</t>
  </si>
  <si>
    <t>Verify Add Supplier is accepted when a valid, recognized Country is entered</t>
  </si>
  <si>
    <t>Precondition: Add New Supplier modal is open
Steps:
1. Enter a valid country (e.g. 'United Arab Emirates')
2. Fill remaining mandatory fields
3. Click 'Add Supplier &gt;'</t>
  </si>
  <si>
    <t>No validation error for Country field; value accepted</t>
  </si>
  <si>
    <t>TC-VAL-011</t>
  </si>
  <si>
    <t>Verify error is shown when Business Name is cleared in the Update Details form</t>
  </si>
  <si>
    <t>Precondition: Edit Supplier form is open with pre-filled data
Steps:
1. Clear the Business Name field
2. Attempt to save</t>
  </si>
  <si>
    <t>Business Name: (cleared)</t>
  </si>
  <si>
    <t>Required field validation error is displayed; save is blocked</t>
  </si>
  <si>
    <t>TC-VAL-012</t>
  </si>
  <si>
    <t>Verify error is shown when Mobile Number is left blank</t>
  </si>
  <si>
    <t>Precondition: Edit Supplier form is open
Steps:
1. Clear Mobile Number field
2. Attempt to save</t>
  </si>
  <si>
    <t>Mobile Number: (blank)</t>
  </si>
  <si>
    <t>TC-VAL-013</t>
  </si>
  <si>
    <t>Verify Edit Supplier is accepted with a valid country code and mobile number</t>
  </si>
  <si>
    <t>Precondition: Edit Supplier form is open
Steps:
1. Select a valid country code (e.g. +971)
2. Enter a valid mobile number
3. Save</t>
  </si>
  <si>
    <t>Mobile: +971 501234567</t>
  </si>
  <si>
    <t>No validation error; mobile number saved successfully</t>
  </si>
  <si>
    <t>TC-VAL-014</t>
  </si>
  <si>
    <t>Verify error is shown when Agreed Paydays contains a non-numeric value</t>
  </si>
  <si>
    <t>Precondition: Edit Supplier form is open
Steps:
1. Enter a non-numeric value in Agreed Paydays (e.g. 'abc')
2. Attempt to save</t>
  </si>
  <si>
    <t>Agreed Paydays: abc</t>
  </si>
  <si>
    <t>Validation error indicating numeric value required is displayed; save is blocked</t>
  </si>
  <si>
    <t>TC-VAL-015</t>
  </si>
  <si>
    <t>Verify Agreed Paydays accepts a valid numeric value</t>
  </si>
  <si>
    <t>Precondition: Edit Supplier form is open
Steps:
1. Enter a valid numeric value in Agreed Paydays (e.g. 30)
2. Save</t>
  </si>
  <si>
    <t>Agreed Paydays: 30</t>
  </si>
  <si>
    <t>No validation error; value saved successfully</t>
  </si>
  <si>
    <t>TC-VAL-016</t>
  </si>
  <si>
    <t>Verify error is shown when Address Line 1 is left blank</t>
  </si>
  <si>
    <t>Precondition: Edit Supplier form is open
Steps:
1. Clear Address Line 1 field
2. Attempt to save</t>
  </si>
  <si>
    <t>Address Line 1: (blank)</t>
  </si>
  <si>
    <t>TC-VAL-017</t>
  </si>
  <si>
    <t>Verify error is shown when City is left blank</t>
  </si>
  <si>
    <t>Precondition: Edit Supplier form is open
Steps:
1. Clear City field
2. Attempt to save</t>
  </si>
  <si>
    <t>City: (blank)</t>
  </si>
  <si>
    <t>TC-VAL-018</t>
  </si>
  <si>
    <t>Verify system behaviour when a duplicate Supplier Unique ID is entered</t>
  </si>
  <si>
    <t>Precondition: A supplier already exists with a given Unique ID
Steps:
1. Enter the same Unique ID as an existing supplier
2. Click 'Add Supplier &gt;'</t>
  </si>
  <si>
    <t>Unique ID: (duplicate of existing supplier)</t>
  </si>
  <si>
    <t>System should reject with a duplicate-ID validation error, or clearly define expected behaviour (to confirm with BA/Dev)</t>
  </si>
  <si>
    <t>TC-VAL-019</t>
  </si>
  <si>
    <t>Verify system behaviour when special characters are entered in Business Name field</t>
  </si>
  <si>
    <t>Precondition: Add New Supplier modal is open
Steps:
1. Enter special characters in Business Name (e.g. '@@@###')
2. Click 'Add Supplier &gt;'</t>
  </si>
  <si>
    <t>Business Name: @@@###</t>
  </si>
  <si>
    <t>System should either reject invalid characters with a clear error, or sanitize input as per business rule (to confirm with BA/Dev)</t>
  </si>
  <si>
    <t>TC-VAL-020</t>
  </si>
  <si>
    <t>Verify system behaviour when Business Name exceeds maximum allowed character length</t>
  </si>
  <si>
    <t>Precondition: Add New Supplier modal is open
Steps:
1. Enter a Business Name exceeding the field's max length (e.g. 300 characters)
2. Click 'Add Supplier &gt;'</t>
  </si>
  <si>
    <t>Business Name: 300-character string</t>
  </si>
  <si>
    <t>System should truncate or show a max-length validation error rather than accepting/crashing (to confirm with BA/Dev)</t>
  </si>
  <si>
    <t>Payment Methods</t>
  </si>
  <si>
    <t>Verify 'Before You Add a Card' informational notice is displayed</t>
  </si>
  <si>
    <t>1. Log in as Buyer (MILTON BUYERS DUBAI)
2. Navigate to Payment Methods
3. Open 'Add New Card' tab</t>
  </si>
  <si>
    <t>Notice panel displays penny-transaction explanation, rounding disclaimer, and foreign-currency guidance text as documented</t>
  </si>
  <si>
    <t>Verify security assurance message is shown before card capture</t>
  </si>
  <si>
    <t>1. Navigate to Add New Card tab</t>
  </si>
  <si>
    <t>Message 'Your payment information is securely stored and encrypted. We do not store your CVV code.' is displayed</t>
  </si>
  <si>
    <t>Verify currency selector lists AED, USD, and KWD options</t>
  </si>
  <si>
    <t>1. Navigate to Add New Card tab
2. Review currency selector</t>
  </si>
  <si>
    <t>AED (United Arab Emirates Dirham), USD (United States Dollar), and KWD (Kuwaiti Dinar) are all selectable</t>
  </si>
  <si>
    <t>Verify 'No card has been saved.' message shows when entity has zero saved cards</t>
  </si>
  <si>
    <t>1. Log in with an entity that has no saved cards
2. Navigate to Add New Card tab</t>
  </si>
  <si>
    <t>No card has been saved.' message is displayed in place of a saved card list</t>
  </si>
  <si>
    <t>Verify 'Proceed to Verification' redirects to Geidea Hosted Payment Page</t>
  </si>
  <si>
    <t>1. Select a currency (e.g. AED)
2. Click 'Proceed to Verification &gt;'</t>
  </si>
  <si>
    <t>Processing security checkout...' loader appears, then user is redirected to the 'Add your card details' card-capture form</t>
  </si>
  <si>
    <t>Add Card Form</t>
  </si>
  <si>
    <t>Verify card brand icon updates based on entered card number</t>
  </si>
  <si>
    <t>1. On 'Add your card details' form, enter a Mastercard test number
2. Observe brand icon</t>
  </si>
  <si>
    <t>Card Number: 5123 4500 0000 0008</t>
  </si>
  <si>
    <t>Mastercard brand icon/badge is highlighted or displayed matching the entered BIN</t>
  </si>
  <si>
    <t>Verify submitting valid card details redirects to 3DS bank verification</t>
  </si>
  <si>
    <t>1. Enter Card Number, Expiry Date, CVV, Name on Card
2. Submit the form</t>
  </si>
  <si>
    <t>Card: 5123 4500 0000 0008, Expiry: 01/39, CVV: 100, Name: Test card</t>
  </si>
  <si>
    <t>User is redirected to the 3DS ACS Emulator verification screen ('For security, your bank is verifying you...')</t>
  </si>
  <si>
    <t>3DS Verification</t>
  </si>
  <si>
    <t>Verify successful 3DS authentication leads to 'Card Saved Successfully'</t>
  </si>
  <si>
    <t>1. On ACS Emulator, select Authentication Result '(Y) Authentication/Account Verification Successful'
2. Submit</t>
  </si>
  <si>
    <t>Authentication Result: Y - Successful</t>
  </si>
  <si>
    <t>Card Saved Successfully' confirmation screen is displayed</t>
  </si>
  <si>
    <t>Card Saved Confirmation</t>
  </si>
  <si>
    <t>Verify auto-redirect countdown and manual redirect option after card save</t>
  </si>
  <si>
    <t>1. Reach 'Card Saved Successfully' screen
2. Observe countdown / click 'Go to Merchant Website'</t>
  </si>
  <si>
    <t>Page either auto-redirects to Payment Methods within 15 seconds, or redirects immediately on clicking 'Go to Merchant Website'</t>
  </si>
  <si>
    <t>Verify newly added card appears under 'Saved Cards' with correct masked details</t>
  </si>
  <si>
    <t>1. Complete an Add Card flow successfully
2. Navigate to 'Saved Cards' tab</t>
  </si>
  <si>
    <t>Card: 5123 4500 0000 0008</t>
  </si>
  <si>
    <t>New card appears showing brand (MASTERCARD), masked number (512345******0008), issuing bank, and correct currency association</t>
  </si>
  <si>
    <t>Verify first saved card for an entity/currency is marked 'Primary'</t>
  </si>
  <si>
    <t>1. Add the first card for a given currency
2. Check Saved Cards list</t>
  </si>
  <si>
    <t>The card displays a 'Primary' badge</t>
  </si>
  <si>
    <t>Verify multiple cards can be saved for the same entity across different currencies</t>
  </si>
  <si>
    <t>1. Add a card under AED
2. Add a second card under USD
3. Check Saved Cards list</t>
  </si>
  <si>
    <t>Card 1: ...0008 (AED), Card 2: ...4444 (USD)</t>
  </si>
  <si>
    <t>Both cards are listed independently, each tagged with its respective currency</t>
  </si>
  <si>
    <t>Verify 'Cancel' on the Add Card form discards entered data without saving a card</t>
  </si>
  <si>
    <t>1. Enter partial/complete card details
2. Click 'Cancel'</t>
  </si>
  <si>
    <t>Partial card data</t>
  </si>
  <si>
    <t>Form closes, no card is added, user returns to Payment Methods page</t>
  </si>
  <si>
    <t>Verify 'click here to go back and retry' link on 3DS screen returns user to card entry</t>
  </si>
  <si>
    <t>1. On the 3DS verification screen, click 'Please click here to go back and retry'</t>
  </si>
  <si>
    <t>User is taken back to the 'Add your card details' form to retry card entry</t>
  </si>
  <si>
    <t>Saved Cards</t>
  </si>
  <si>
    <t>Verify delete-card confirmation dialog appears before removing a saved card</t>
  </si>
  <si>
    <t>1. Navigate to Saved Cards
2. Click delete icon on a saved card</t>
  </si>
  <si>
    <t>Card ending 0008</t>
  </si>
  <si>
    <t>Confirmation dialog 'Are you sure? You want to delete the card ending 0008' is displayed with a 'Yes, do it!' action</t>
  </si>
  <si>
    <t>Verify confirming deletion removes the card from Saved Cards list</t>
  </si>
  <si>
    <t>1. Click delete icon on a saved card
2. Click 'Yes, do it!'</t>
  </si>
  <si>
    <t>Card is removed from the Saved Cards list immediately</t>
  </si>
  <si>
    <t>Verify dismissing the delete confirmation dialog leaves the card intact</t>
  </si>
  <si>
    <t>1. Click delete icon on a saved card
2. Dismiss/close the confirmation dialog without confirming</t>
  </si>
  <si>
    <t>Card remains in the Saved Cards list, unchanged</t>
  </si>
  <si>
    <t>Verify 'Proceed to Verification' is blocked when no currency is selected</t>
  </si>
  <si>
    <t>1. Navigate to Add New Card tab
2. Do not select a currency
3. Click 'Proceed to Verification &gt;'</t>
  </si>
  <si>
    <t>Currency: (none selected)</t>
  </si>
  <si>
    <t>Action is blocked with a validation prompt to select a currency, or button remains disabled</t>
  </si>
  <si>
    <t>Verify error is shown when Card Number is left blank</t>
  </si>
  <si>
    <t>1. Leave Card Number blank
2. Fill remaining fields
3. Submit</t>
  </si>
  <si>
    <t>Card Number: (blank)</t>
  </si>
  <si>
    <t>Required-field validation error is displayed; form is not submitted</t>
  </si>
  <si>
    <t>Verify error is shown when an incomplete/invalid Card Number is entered</t>
  </si>
  <si>
    <t>1. Enter an incomplete card number (e.g. '5123 4500')
2. Submit</t>
  </si>
  <si>
    <t>Card Number: 5123 4500</t>
  </si>
  <si>
    <t>Validation error for invalid/incomplete card number is displayed; form is not submitted</t>
  </si>
  <si>
    <t>Verify a valid Mastercard test number (3DS2-Challenge) is accepted</t>
  </si>
  <si>
    <t>1. Enter a valid Mastercard test card number
2. Submit</t>
  </si>
  <si>
    <t>Card Number: 5123450000000008</t>
  </si>
  <si>
    <t>No validation error; card number accepted and form proceeds to 3DS</t>
  </si>
  <si>
    <t>Verify a valid Amex test number (3DS2-Frictionless) is accepted</t>
  </si>
  <si>
    <t>1. Enter a valid Amex test card number
2. Submit</t>
  </si>
  <si>
    <t>Card Number: 340353278080900</t>
  </si>
  <si>
    <t>Verify error is shown when Expiry Date is left blank</t>
  </si>
  <si>
    <t>1. Leave Expiry Date blank
2. Submit</t>
  </si>
  <si>
    <t>Expiry Date: (blank)</t>
  </si>
  <si>
    <t>Verify system correctly processes an expired-card test expiry value</t>
  </si>
  <si>
    <t>1. Enter test expiry date associated with expired-card response
2. Complete and submit form</t>
  </si>
  <si>
    <t>Expiry Date: 04/27</t>
  </si>
  <si>
    <t>Gateway returns 'Transaction failed - expired card'; card is not saved and error is surfaced to the user</t>
  </si>
  <si>
    <t>Verify system correctly processes a 'transaction declined' test expiry value</t>
  </si>
  <si>
    <t>1. Enter test expiry date associated with decline response
2. Complete and submit form</t>
  </si>
  <si>
    <t>Expiry Date: 05/39</t>
  </si>
  <si>
    <t>Gateway returns 'Transaction declined - please contact your bank!'; card is not saved and error is surfaced to the user</t>
  </si>
  <si>
    <t>Verify system correctly handles a 'provider connection timed out' test expiry value</t>
  </si>
  <si>
    <t>1. Enter test expiry date associated with provider timeout
2. Complete and submit form</t>
  </si>
  <si>
    <t>Expiry Date: 08/28</t>
  </si>
  <si>
    <t>Gateway returns 'Provider connection timed out'; form shows a timeout/error state without saving a card</t>
  </si>
  <si>
    <t>Verify system correctly handles an 'unspecified failure from the provider' test expiry value</t>
  </si>
  <si>
    <t>1. Enter test expiry date associated with unspecified provider failure
2. Complete and submit form</t>
  </si>
  <si>
    <t>Expiry Date: 02/37</t>
  </si>
  <si>
    <t>Gateway returns 'Unspecified failure from the provider'; card is not saved and a generic error is surfaced</t>
  </si>
  <si>
    <t>Verify system correctly handles an 'unknown provider error' test expiry value</t>
  </si>
  <si>
    <t>1. Enter test expiry date associated with unknown provider error
2. Complete and submit form</t>
  </si>
  <si>
    <t>Expiry Date: 05/37</t>
  </si>
  <si>
    <t>Gateway returns 'Unknown provider error'; card is not saved and a generic error is surfaced</t>
  </si>
  <si>
    <t>Verify a valid expiry date (successful test value) is accepted and saves the card</t>
  </si>
  <si>
    <t>1. Enter test expiry date associated with success
2. Complete and submit form</t>
  </si>
  <si>
    <t>Expiry Date: 01/39 or 01/35</t>
  </si>
  <si>
    <t>Gateway returns success; 'Card Saved Successfully' confirmation is shown</t>
  </si>
  <si>
    <t>Verify error is shown when CVV is left blank</t>
  </si>
  <si>
    <t>1. Leave CVV blank
2. Submit</t>
  </si>
  <si>
    <t>CVV: (blank)</t>
  </si>
  <si>
    <t>Verify CVV value that triggers a MATCH response is accepted</t>
  </si>
  <si>
    <t>1. Enter CVV test value for MATCH
2. Complete and submit form</t>
  </si>
  <si>
    <t>CVV: 100 (or 1000)</t>
  </si>
  <si>
    <t>CSC/CVV Response Code = MATCH; card proceeds to successful save</t>
  </si>
  <si>
    <t>Verify CVV value that triggers a NOT_PROCESSED response is handled correctly</t>
  </si>
  <si>
    <t>1. Enter CVV test value for NOT_PROCESSED
2. Complete and submit form</t>
  </si>
  <si>
    <t>CVV: 101 (or 1010)</t>
  </si>
  <si>
    <t>CSC/CVV Response Code = NOT_PROCESSED; appropriate error/warning is surfaced and card is not marked as fully verified</t>
  </si>
  <si>
    <t>Verify CVV value that triggers a NO_MATCH response is rejected</t>
  </si>
  <si>
    <t>1. Enter CVV test value for NO_MATCH
2. Complete and submit form</t>
  </si>
  <si>
    <t>CVV: 102 (or 1020)</t>
  </si>
  <si>
    <t>CSC/CVV Response Code = NO_MATCH; card save is rejected/flagged with a CVV mismatch error</t>
  </si>
  <si>
    <t>Verify error is shown when Name on Card is left blank</t>
  </si>
  <si>
    <t>1. Leave Name on Card blank
2. Fill remaining fields
3. Submit</t>
  </si>
  <si>
    <t>Name on Card: (blank)</t>
  </si>
  <si>
    <t>Verify Name on Card accepts a valid alphabetic value</t>
  </si>
  <si>
    <t>1. Enter a valid name
2. Submit remaining valid fields</t>
  </si>
  <si>
    <t>Name on Card: Test card</t>
  </si>
  <si>
    <t>No validation error; value accepted</t>
  </si>
  <si>
    <t>Verify system behaviour when special characters/numbers are entered in Name on Card</t>
  </si>
  <si>
    <t>1. Enter special characters/numbers in Name on Card (e.g. '12345!!!')
2. Submit</t>
  </si>
  <si>
    <t>Name on Card: 12345!!!</t>
  </si>
  <si>
    <t>System should reject with a clear validation error, or sanitize input as per business rule (to confirm with BA/Dev)</t>
  </si>
  <si>
    <t>Verify a failed/negative 3DS Authentication Result blocks card save</t>
  </si>
  <si>
    <t>1. On ACS Emulator, select a non-successful Authentication Result (e.g. failed/unavailable)
2. Submit</t>
  </si>
  <si>
    <t>Authentication Result: (N) Failed / (U) Unable to authenticate</t>
  </si>
  <si>
    <t>Card is NOT saved; user is returned to the card form or shown an authentication-failure message instead of 'Card Saved Successfully'</t>
  </si>
  <si>
    <t>TC_PAY_001</t>
  </si>
  <si>
    <t>Payables - Summary Tiles</t>
  </si>
  <si>
    <t>Verify all summary tiles load with correct counts/amounts for the active entity</t>
  </si>
  <si>
    <t>1. Login and navigate to Payables for MILTON BUYERS DUBAI
2. Observe the summary tiles at the top of the page</t>
  </si>
  <si>
    <t>Entity: MILTON BUYERS DUBAI</t>
  </si>
  <si>
    <t>All tiles (Invoices, Settled, Partially Settled, Offline Settled, Outstanding Invoices, Overdue Invoices, Amount Received, Pending Amount) display non-blank values consistent with the invoice grid</t>
  </si>
  <si>
    <t>TC_PAY_002</t>
  </si>
  <si>
    <t>Verify clicking the 'Invoices' tile shows all invoices for the entity</t>
  </si>
  <si>
    <t>1. Navigate to Payables
2. Click the 'Invoices' summary tile</t>
  </si>
  <si>
    <t>Grid reloads showing all invoices regardless of status</t>
  </si>
  <si>
    <t>TC_PAY_003</t>
  </si>
  <si>
    <t>Verify clicking the 'Settled' tile filters the grid to Settled invoices only</t>
  </si>
  <si>
    <t>1. Navigate to Payables
2. Click the 'Settled' tile</t>
  </si>
  <si>
    <t>Grid reloads showing only invoices with Payment Status = PAID/Settled</t>
  </si>
  <si>
    <t>TC_PAY_004</t>
  </si>
  <si>
    <t>Verify clicking the 'Partially Settled' tile filters the grid to partially paid invoices</t>
  </si>
  <si>
    <t>1. Navigate to Payables
2. Click the 'Partially Settled' tile</t>
  </si>
  <si>
    <t>Grid reloads showing only invoices with Payment Status = PARTIALLY PAID / PARTIAL CREDIT</t>
  </si>
  <si>
    <t>TC_PAY_005</t>
  </si>
  <si>
    <t>Verify clicking the 'Offline Settled' tile filters the grid to offline-paid invoices</t>
  </si>
  <si>
    <t>1. Navigate to Payables
2. Click the 'Offline Settled' tile</t>
  </si>
  <si>
    <t>Grid reloads showing only invoices with Payment Status = PAID OFFLINE</t>
  </si>
  <si>
    <t>TC_PAY_006</t>
  </si>
  <si>
    <t>Verify clicking the 'Outstanding Invoices' tile filters the grid to unpaid invoices</t>
  </si>
  <si>
    <t>1. Navigate to Payables
2. Click the 'Outstanding Invoices' tile</t>
  </si>
  <si>
    <t>Grid reloads showing only invoices with Payment Status = PENDING</t>
  </si>
  <si>
    <t>TC_PAY_007</t>
  </si>
  <si>
    <t>Verify clicking the 'Overdue Invoices' tile filters the grid to invoices past due date</t>
  </si>
  <si>
    <t>1. Navigate to Payables
2. Click the 'Overdue Invoices' tile</t>
  </si>
  <si>
    <t>Grid reloads showing only invoices where Invoice Over Due (days) &gt; 0, with the overdue-specific column set</t>
  </si>
  <si>
    <t>TC_PAY_008</t>
  </si>
  <si>
    <t>Verify 'Amount Received' tile value matches the sum of Settled Amount across all invoices</t>
  </si>
  <si>
    <t>1. Navigate to Payables
2. Note 'Amount Received' tile value
3. Filter to Settled + Partially Settled + Offline Settled and sum Settled Amount column</t>
  </si>
  <si>
    <t>Tile value equals sum of Settled Amount across relevant invoices (e.g. 10.93 M)</t>
  </si>
  <si>
    <t>TC_PAY_009</t>
  </si>
  <si>
    <t>Verify 'Pending Amount' tile value matches the sum of Due Amount across outstanding invoices</t>
  </si>
  <si>
    <t>1. Navigate to Payables
2. Note 'Pending Amount' tile value
3. Filter to Outstanding + Overdue and sum Due Amount column</t>
  </si>
  <si>
    <t>Tile value equals sum of Due Amount across outstanding/overdue invoices (e.g. 82.09 M)</t>
  </si>
  <si>
    <t>TC_PAY_010</t>
  </si>
  <si>
    <t>Verify summary tiles refresh to reflect a different Buyer entity after switching via 'Change Entity'</t>
  </si>
  <si>
    <t>1. Navigate to Payables for MILTON BUYERS DUBAI
2. Note tile values
3. Click 'Change Entity' and switch to another buyer entity (e.g. MILTON BUYERS)
4. Observe tiles and grid</t>
  </si>
  <si>
    <t>Entity: MILTON BUYERS DUBAI -&gt; MILTON BUYERS</t>
  </si>
  <si>
    <t>Tiles and grid reload to show only data for the newly selected entity; no data from the previous entity is retained on screen</t>
  </si>
  <si>
    <t>TC_PAY_011</t>
  </si>
  <si>
    <t>Payables - Invoice Grid &amp; Filters</t>
  </si>
  <si>
    <t>Verify grid displays correct default columns on the 'All Invoices' view</t>
  </si>
  <si>
    <t>1. Navigate to Payables
2. Ensure 'Invoices' (all) tile/tab is active
3. Review grid column headers</t>
  </si>
  <si>
    <t>Grid shows Business Name, Invoice Number, Invoice Date, Invoice Due Date, Invoice Amount, Settled Amount, Due Amount, Currency, Payment Status, Action (per Section 3 of FSD)</t>
  </si>
  <si>
    <t>TC_PAY_012</t>
  </si>
  <si>
    <t>Verify grid columns change appropriately when a status-specific tab is selected</t>
  </si>
  <si>
    <t>1. Navigate to Payables
2. Click the 'Overdue Invoices' tile
3. Review grid column headers</t>
  </si>
  <si>
    <t>Invoice Over Due (days)' and related overdue-specific columns are shown in addition to/instead of the default set</t>
  </si>
  <si>
    <t>TC_PAY_013</t>
  </si>
  <si>
    <t>Verify free-text filter searches by supplier (Business Name) fragment</t>
  </si>
  <si>
    <t>1. Navigate to Payables
2. In 'Type here the filter value' box, enter a partial supplier name (e.g. 'PRODUBAI')</t>
  </si>
  <si>
    <t>Filter text: PRODUBAI</t>
  </si>
  <si>
    <t>Grid live-filters to show only invoices where Business Name contains the entered text</t>
  </si>
  <si>
    <t>TC_PAY_014</t>
  </si>
  <si>
    <t>Verify free-text filter searches by invoice number fragment</t>
  </si>
  <si>
    <t>1. Navigate to Payables
2. Enter a partial invoice number in the filter box (e.g. 'INV-596')</t>
  </si>
  <si>
    <t>Filter text: INV-596</t>
  </si>
  <si>
    <t>Grid live-filters to show only invoices whose Invoice Number contains the entered text</t>
  </si>
  <si>
    <t>TC_PAY_015</t>
  </si>
  <si>
    <t>Verify free-text filter searches by status keyword</t>
  </si>
  <si>
    <t>1. Navigate to Payables
2. Enter a status keyword in the filter box (e.g. 'pending', 'partial', 'partial credit')</t>
  </si>
  <si>
    <t>Filter text: pending</t>
  </si>
  <si>
    <t>Grid live-filters to show only invoices whose Payment Status matches/contains the entered keyword</t>
  </si>
  <si>
    <t>TC_PAY_016</t>
  </si>
  <si>
    <t>Verify filter box shows an empty grid / no-records state for a keyword with no matches</t>
  </si>
  <si>
    <t>1. Navigate to Payables
2. Enter a keyword that matches no records (e.g. 'ZZZZZZ999')</t>
  </si>
  <si>
    <t>Filter text: ZZZZZZ999</t>
  </si>
  <si>
    <t>Grid displays an empty state / 'no records found' message; no error is thrown</t>
  </si>
  <si>
    <t>TC_PAY_017</t>
  </si>
  <si>
    <t>Verify filter box safely handles special characters and script/SQL-like input</t>
  </si>
  <si>
    <t>1. Navigate to Payables
2. Enter special characters or an injection-style string in the filter box (e.g. ' OR 1=1 --, &lt;script&gt;alert(1)&lt;/script&gt;)</t>
  </si>
  <si>
    <t>Filter text: ' OR 1=1 --</t>
  </si>
  <si>
    <t>Input is treated as literal search text with no records matched, no script execution, and no application/server error</t>
  </si>
  <si>
    <t>TC_PAY_018</t>
  </si>
  <si>
    <t>Verify page-size selector changes the number of rows displayed</t>
  </si>
  <si>
    <t>1. Navigate to Payables
2. Change page size selector between 10/20/50/100</t>
  </si>
  <si>
    <t>Page size: 10, 20, 50, 100</t>
  </si>
  <si>
    <t>Grid displays the selected number of rows per page and pagination recalculates accordingly</t>
  </si>
  <si>
    <t>TC_PAY_019</t>
  </si>
  <si>
    <t>Verify pagination controls (first/prev/page number/next/last) navigate the grid correctly</t>
  </si>
  <si>
    <t>1. Navigate to Payables with page size = 10
2. Click Next, a specific page number, Prev, First, and Last controls in turn</t>
  </si>
  <si>
    <t>Grid navigates to the correct page each time and the row set updates accordingly</t>
  </si>
  <si>
    <t>TC_PAY_020</t>
  </si>
  <si>
    <t>Verify 'First'/'Prev' controls are disabled on the first page and 'Next'/'Last' disabled on the last page</t>
  </si>
  <si>
    <t>1. Navigate to Payables, go to first page
2. Observe First/Prev controls
3. Navigate to last page
4. Observe Next/Last controls</t>
  </si>
  <si>
    <t>First/Prev are disabled (non-clickable) on page 1; Next/Last are disabled on the final page</t>
  </si>
  <si>
    <t>TC_PAY_021</t>
  </si>
  <si>
    <t>Payables - Invoice Reject</t>
  </si>
  <si>
    <t>Verify selecting a single Pending invoice via checkbox exposes the INVOICE REJECT action</t>
  </si>
  <si>
    <t>1. Navigate to Payables, filter to Pending/Outstanding invoices
2. Select the checkbox for one invoice row</t>
  </si>
  <si>
    <t>INVOICE REJECT' and 'DOWNLOAD' actions appear in the toolbar above the grid</t>
  </si>
  <si>
    <t>TC_PAY_022</t>
  </si>
  <si>
    <t>Verify selecting multiple Pending invoices enables bulk reject</t>
  </si>
  <si>
    <t>1. Navigate to Pending invoices view
2. Select checkboxes for 2 or more invoice rows
3. Click 'INVOICE REJECT'</t>
  </si>
  <si>
    <t>An 'Invoice Reject' panel opens with entries for each selected invoice, each requiring a reason</t>
  </si>
  <si>
    <t>TC_PAY_023</t>
  </si>
  <si>
    <t>Verify 'Select Reason Type *' is mandatory and reject cannot proceed without it</t>
  </si>
  <si>
    <t>1. Select a Pending invoice, click 'INVOICE REJECT'
2. Leave 'Select Reason Type *' blank
3. Attempt to confirm/proceed</t>
  </si>
  <si>
    <t>Reason Type: (blank)</t>
  </si>
  <si>
    <t>A validation message is shown and the reject action is blocked until a reason is selected</t>
  </si>
  <si>
    <t>TC_PAY_024</t>
  </si>
  <si>
    <t>Verify selecting reason type 'CASS shipment' and confirming shows the confirmation dialog</t>
  </si>
  <si>
    <t>1. Select a Pending invoice, click 'INVOICE REJECT'
2. Select reason 'CASS shipment'
3. Proceed to confirm</t>
  </si>
  <si>
    <t>Reason Type: CASS shipment</t>
  </si>
  <si>
    <t>Confirmation dialog appears: 'Are you sure you want to reject this selected invoices?'</t>
  </si>
  <si>
    <t>TC_PAY_025</t>
  </si>
  <si>
    <t>Verify confirming the reject dialog moves the invoice to REJECTED and removes it from Pending</t>
  </si>
  <si>
    <t>1. Complete reject flow with reason 'CASS shipment'
2. Click confirm on the 'Are you sure...' dialog
3. Return to Pending view and to Rejected view</t>
  </si>
  <si>
    <t>Invoice no longer appears in Pending list; Payment Status updates to REJECTED and invoice appears under the Rejected tile/tab</t>
  </si>
  <si>
    <t>TC_PAY_026</t>
  </si>
  <si>
    <t>Verify cancelling the reject confirmation dialog leaves the invoice unchanged</t>
  </si>
  <si>
    <t>1. Select a Pending invoice, click 'INVOICE REJECT', choose a reason
2. On the confirmation dialog, click Cancel/close instead of confirming</t>
  </si>
  <si>
    <t>Invoice remains in PENDING status and stays in the Pending list; no change is applied</t>
  </si>
  <si>
    <t>TC_PAY_027</t>
  </si>
  <si>
    <t>Verify DOWNLOAD action exports the selected invoice(s) data</t>
  </si>
  <si>
    <t>1. Select one or more invoices via checkbox
2. Click 'DOWNLOAD' in the toolbar</t>
  </si>
  <si>
    <t>A file containing the selected invoice(s) data is downloaded successfully</t>
  </si>
  <si>
    <t>TC_PAY_028</t>
  </si>
  <si>
    <t>Verify Reject action is unavailable for invoices not in Pending status</t>
  </si>
  <si>
    <t>1. Navigate to a Settled, Rejected, or Withdrawn invoices view
2. Attempt to select checkboxes / locate an INVOICE REJECT action</t>
  </si>
  <si>
    <t>Checkbox/Reject action is not offered (or is disabled) for invoices that are not in a rejectable (Pending) status</t>
  </si>
  <si>
    <t>TC_PAY_029</t>
  </si>
  <si>
    <t>Verify the full list of reason types in 'Select Reason Type *' dropdown</t>
  </si>
  <si>
    <t>1. Select a Pending invoice, click 'INVOICE REJECT'
2. Open the 'Select Reason Type *' dropdown</t>
  </si>
  <si>
    <t>Dropdown displays the complete, correct list of configured reason types</t>
  </si>
  <si>
    <t>Only 'CASS shipment' was visible in the recording; full list to be confirmed with BA/Dev per FSD Section 12</t>
  </si>
  <si>
    <t>TC_PAY_030</t>
  </si>
  <si>
    <t>Payables - Tax Invoice Detail</t>
  </si>
  <si>
    <t>Verify clicking an invoice row opens the Tax Invoice preview with correct details</t>
  </si>
  <si>
    <t>1. Navigate to Payables
2. Click into any invoice row</t>
  </si>
  <si>
    <t>Tax Invoice preview opens (PDF-style) showing Invoice number, Invoice/Due date, Billing To, Currency, Total/Settled/Pending/Paying Amount</t>
  </si>
  <si>
    <t>TC_PAY_031</t>
  </si>
  <si>
    <t>Verify Total Amount, Settled Amount, Pending Amount, and Paying Amount are calculated correctly on the Tax Invoice view</t>
  </si>
  <si>
    <t>1. Open the Tax Invoice preview for a partially settled invoice
2. Compare displayed amounts against grid values</t>
  </si>
  <si>
    <t>Pending Amount = Total Amount - Settled Amount; Paying Amount matches Pending Amount by default</t>
  </si>
  <si>
    <t>TC_PAY_032</t>
  </si>
  <si>
    <t>Verify zoom/print-style controls work correctly on the Tax Invoice preview</t>
  </si>
  <si>
    <t>1. Open the Tax Invoice preview
2. Use zoom in/out and print controls</t>
  </si>
  <si>
    <t>Zoom controls resize the preview; print control opens print dialog/output correctly</t>
  </si>
  <si>
    <t>TC_PAY_033</t>
  </si>
  <si>
    <t>Verify cheque payment instructions display the correct supplier name</t>
  </si>
  <si>
    <t>1. Open Tax Invoice preview for an invoice raised by a specific supplier</t>
  </si>
  <si>
    <t>Text reads 'For payments by cheque: To be issued in favour of: [Supplier Name]' with the correct supplier substituted</t>
  </si>
  <si>
    <t>TC_PAY_034</t>
  </si>
  <si>
    <t>Verify due-date reminder displays the correct invoice due date</t>
  </si>
  <si>
    <t>1. Open Tax Invoice preview
2. Compare due-date reminder text against the Invoice Due Date column</t>
  </si>
  <si>
    <t>The invoice has to be paid by [date]' shows the same date as the grid's Invoice Due Date</t>
  </si>
  <si>
    <t>TC_PAY_035</t>
  </si>
  <si>
    <t>Verify 'Click here to PAY' launches the Pay with Card flow scoped to the correct invoice</t>
  </si>
  <si>
    <t>1. Open Tax Invoice preview for an unpaid invoice
2. Click 'Click here to PAY'</t>
  </si>
  <si>
    <t>Pay with Card page opens pre-populated with the same Invoice #, amounts, and currency as the Tax Invoice preview</t>
  </si>
  <si>
    <t>TC_PAY_036</t>
  </si>
  <si>
    <t>Verify 'Click here to PAY' is unavailable for an already PAID invoice</t>
  </si>
  <si>
    <t>1. Open Tax Invoice preview for an invoice with Payment Status = PAID</t>
  </si>
  <si>
    <t>Click here to PAY' action is not shown, or is disabled, preventing a duplicate payment</t>
  </si>
  <si>
    <t>TC_PAY_037</t>
  </si>
  <si>
    <t>Payables - Pay with Card (Geidea HPP)</t>
  </si>
  <si>
    <t>Verify Pay with Card page header shows correct read-only invoice context</t>
  </si>
  <si>
    <t>1. From Tax Invoice preview, click 'Click here to PAY'
2. Review header fields</t>
  </si>
  <si>
    <t>Invoice #, Invoice Date, Billing To, and Currency match the source invoice and are read-only</t>
  </si>
  <si>
    <t>TC_PAY_038</t>
  </si>
  <si>
    <t>Verify Total/Settled/Pending/Paying Amount summary tiles are correct on the Pay page</t>
  </si>
  <si>
    <t>1. Open Pay with Card page for a known invoice</t>
  </si>
  <si>
    <t>Total Amount, Settled Amount, Pending Amount display correctly; Paying Amount defaults to full Pending Amount</t>
  </si>
  <si>
    <t>TC_PAY_039</t>
  </si>
  <si>
    <t>Verify the Pay button label reflects the exact paying amount and currency</t>
  </si>
  <si>
    <t>1. Open Pay with Card page for an invoice with Pending Amount 1020.00 AED</t>
  </si>
  <si>
    <t>Pending Amount: 1020.00 AED</t>
  </si>
  <si>
    <t>Pay button reads 'Pay 1020.00 AED'</t>
  </si>
  <si>
    <t>TC_PAY_040</t>
  </si>
  <si>
    <t>Verify Card Number is a mandatory field</t>
  </si>
  <si>
    <t>1. Open Pay with Card page
2. Leave Card Number blank
3. Fill other fields and submit</t>
  </si>
  <si>
    <t>A validation error is shown for Card Number and the payment is not submitted</t>
  </si>
  <si>
    <t>TC_PAY_041</t>
  </si>
  <si>
    <t>Verify Card Number field rejects an invalid/incomplete card number</t>
  </si>
  <si>
    <t>1. Open Pay with Card page
2. Enter an incomplete/invalid card number (e.g. '1234')
3. Attempt to submit</t>
  </si>
  <si>
    <t>Card Number: 1234</t>
  </si>
  <si>
    <t>A validation error is shown indicating the card number is invalid; submission is blocked</t>
  </si>
  <si>
    <t>TC_PAY_042</t>
  </si>
  <si>
    <t>Verify Expiry Date is mandatory and validated in MM/YY format</t>
  </si>
  <si>
    <t>1. Open Pay with Card page
2. Leave Expiry Date blank, then enter an invalid format (e.g. '13/99')
3. Attempt to submit</t>
  </si>
  <si>
    <t>Expiry Date: blank, then 13/99</t>
  </si>
  <si>
    <t>Validation errors are shown for missing/invalid expiry date; submission is blocked</t>
  </si>
  <si>
    <t>TC_PAY_043</t>
  </si>
  <si>
    <t>Verify a past Expiry Date is rejected with a validation error</t>
  </si>
  <si>
    <t>1. Open Pay with Card page
2. Enter an expiry date earlier than the current month/year
3. Attempt to submit</t>
  </si>
  <si>
    <t>Expiry Date: 01/20</t>
  </si>
  <si>
    <t>A validation error indicates the card has expired; submission is blocked</t>
  </si>
  <si>
    <t>TC_PAY_044</t>
  </si>
  <si>
    <t>Verify CVV is mandatory, masked on entry, and validated for correct length</t>
  </si>
  <si>
    <t>1. Open Pay with Card page
2. Leave CVV blank, then enter fewer/more digits than expected
3. Observe field masking</t>
  </si>
  <si>
    <t>CVV: blank, then '12'</t>
  </si>
  <si>
    <t>CVV input is masked as typed; validation errors are shown for blank/incorrect-length CVV; submission is blocked</t>
  </si>
  <si>
    <t>TC_PAY_045</t>
  </si>
  <si>
    <t>Verify Name on Card is a mandatory field</t>
  </si>
  <si>
    <t>1. Open Pay with Card page
2. Leave Name on Card blank
3. Attempt to submit</t>
  </si>
  <si>
    <t>A validation error is shown and the payment is not submitted</t>
  </si>
  <si>
    <t>TC_PAY_046</t>
  </si>
  <si>
    <t>Verify correct card brand icon displays based on entered card number</t>
  </si>
  <si>
    <t>1. Enter a Visa test number, observe icon
2. Enter a Mastercard test number, observe icon</t>
  </si>
  <si>
    <t>Card: 5123 4500 0000 0008 (Mastercard)</t>
  </si>
  <si>
    <t>The Visa/Mastercard/Amex icon highlighted matches the entered card's brand</t>
  </si>
  <si>
    <t>TC_PAY_047</t>
  </si>
  <si>
    <t>Verify 'Cancel' exits the Pay with Card page without charging</t>
  </si>
  <si>
    <t>1. Open Pay with Card page, optionally enter partial details
2. Click 'Cancel'</t>
  </si>
  <si>
    <t>User returns to the invoice/Payables view; no charge is made and invoice status is unchanged</t>
  </si>
  <si>
    <t>TC_PAY_048</t>
  </si>
  <si>
    <t>Verify submitting valid card details proceeds to 3DS authentication</t>
  </si>
  <si>
    <t>1. Enter valid card details and click the Pay button</t>
  </si>
  <si>
    <t>Card: 5123 4500 0000 0008 | Expiry: 01/39 | CVV: 100 | Name: testcard</t>
  </si>
  <si>
    <t>Flow proceeds to the 3DS ACS Emulator screen: 'For security, your bank is verifying you...'</t>
  </si>
  <si>
    <t>TC_PAY_049</t>
  </si>
  <si>
    <t>Verify invoice Payment Status shows PENDING while 3DS authentication is in progress</t>
  </si>
  <si>
    <t>1. Submit valid card details
2. While on the 3DS interstitial, check the invoice's status in another tab/session</t>
  </si>
  <si>
    <t>Payment Status badge continues to show PENDING until authentication completes</t>
  </si>
  <si>
    <t>TC_PAY_050</t>
  </si>
  <si>
    <t>Payables - 3DS Authentication &amp; Payment Result</t>
  </si>
  <si>
    <t>Verify a successful 3DS authentication result shows the 'Transaction approved' confirmation with all required fields</t>
  </si>
  <si>
    <t>1. Submit valid card details
2. On the ACS Emulator, select the successful Authentication Result
3. Review confirmation screen</t>
  </si>
  <si>
    <t>Expiry: 01/39 | Authentication Result: Success</t>
  </si>
  <si>
    <t>Transaction approved' is shown with Date/Time, Operation (Pay), Geidea order ID, Merchant Reference ID, and Total amount charged</t>
  </si>
  <si>
    <t>TC_PAY_051</t>
  </si>
  <si>
    <t>Verify 'Go to Merchant Website' navigates back correctly after a successful payment</t>
  </si>
  <si>
    <t>1. Complete a successful payment
2. Click 'Go to Merchant Website'</t>
  </si>
  <si>
    <t>User is returned to the FlexCapPro application (Payables/invoice view)</t>
  </si>
  <si>
    <t>TC_PAY_052</t>
  </si>
  <si>
    <t>Verify invoice status updates from PENDING to PAID after a successful transaction</t>
  </si>
  <si>
    <t>1. Complete a successful payment for a Pending invoice
2. Return to the Payables grid and locate the invoice</t>
  </si>
  <si>
    <t>Payment Status for the invoice now shows PAID, and Settled Date/Settled Amount are populated</t>
  </si>
  <si>
    <t>TC_PAY_053</t>
  </si>
  <si>
    <t>Verify a declined transaction shows the correct decline message and leaves the invoice unpaid</t>
  </si>
  <si>
    <t>1. Submit card payment using the decline test expiry
2. Review the result screen and invoice status</t>
  </si>
  <si>
    <t>Expiry: 05/39 (Transaction declined - please contact your bank!)</t>
  </si>
  <si>
    <t>Decline message is shown to the user; invoice Payment Status remains PENDING (not PAID)</t>
  </si>
  <si>
    <t>TC_PAY_054</t>
  </si>
  <si>
    <t>Verify an expired-card response is handled with the correct message</t>
  </si>
  <si>
    <t>1. Submit card payment using the expired-card test expiry</t>
  </si>
  <si>
    <t>Expiry: 04/27 (Transaction failed - expired card)</t>
  </si>
  <si>
    <t>Transaction failed - expired card' message is shown; invoice remains unpaid</t>
  </si>
  <si>
    <t>TC_PAY_055</t>
  </si>
  <si>
    <t>Verify a provider connection timeout is handled gracefully</t>
  </si>
  <si>
    <t>1. Submit card payment using the timeout test expiry</t>
  </si>
  <si>
    <t>Expiry: 08/28 (Provider connection timed out)</t>
  </si>
  <si>
    <t>Provider connection timed out' message is shown; invoice remains PENDING and no duplicate charge occurs</t>
  </si>
  <si>
    <t>TC_PAY_056</t>
  </si>
  <si>
    <t>Verify an unspecified provider failure is handled gracefully</t>
  </si>
  <si>
    <t>1. Submit card payment using the unspecified-failure test expiry</t>
  </si>
  <si>
    <t>Expiry: 02/37 (Unspecified failure from the provider)</t>
  </si>
  <si>
    <t>Unspecified failure from the provider' message is shown; invoice remains PENDING</t>
  </si>
  <si>
    <t>TC_PAY_057</t>
  </si>
  <si>
    <t>Verify an unknown provider error is handled gracefully</t>
  </si>
  <si>
    <t>1. Submit card payment using the unknown-error test expiry</t>
  </si>
  <si>
    <t>Expiry: 05/37 (Unknown provider error)</t>
  </si>
  <si>
    <t>Unknown provider error' message is shown; invoice remains PENDING</t>
  </si>
  <si>
    <t>TC_PAY_058</t>
  </si>
  <si>
    <t>Verify a CVV NO_MATCH response blocks the payment</t>
  </si>
  <si>
    <t>1. Submit card payment with a CVV known to return NO_MATCH</t>
  </si>
  <si>
    <t>CVV: 102 / 1020 (NO_MATCH)</t>
  </si>
  <si>
    <t>Payment is declined/blocked due to CVV mismatch; invoice remains unpaid</t>
  </si>
  <si>
    <t>TC_PAY_059</t>
  </si>
  <si>
    <t>Verify a CVV NOT_PROCESSED response is handled without a false 'approved' result</t>
  </si>
  <si>
    <t>1. Submit card payment with a CVV known to return NOT_PROCESSED</t>
  </si>
  <si>
    <t>CVV: 101 / 1010 (NOT_PROCESSED)</t>
  </si>
  <si>
    <t>System does not show a false-positive 'Transaction approved'; an appropriate status/message is shown</t>
  </si>
  <si>
    <t>TC_PAY_060</t>
  </si>
  <si>
    <t>Verify closing or refreshing the browser during the 3DS interstitial does not corrupt invoice status</t>
  </si>
  <si>
    <t>1. Submit valid card details to reach the 3DS interstitial
2. Close or refresh the browser tab before completing authentication
3. Return to Payables and check the invoice</t>
  </si>
  <si>
    <t>Invoice remains in a consistent state (PENDING, not incorrectly marked PAID); no duplicate/partial charge is created</t>
  </si>
  <si>
    <t>TC_PAY_061</t>
  </si>
  <si>
    <t>Verify Paying Amount cannot exceed the invoice's Pending Amount, if editable</t>
  </si>
  <si>
    <t>1. On the Pay with Card page, attempt to modify Paying Amount to a value greater than Pending Amount
2. Attempt to submit</t>
  </si>
  <si>
    <t>Paying Amount &gt; Pending Amount</t>
  </si>
  <si>
    <t>A validation error blocks submission, or the field is confirmed read-only and cannot be edited</t>
  </si>
  <si>
    <t>Whether Paying Amount is user-editable was not directly confirmed in the recording; verify with BA/Dev</t>
  </si>
  <si>
    <t>TC_PAY_062</t>
  </si>
  <si>
    <t>Payables - Upload Payment File</t>
  </si>
  <si>
    <t>Verify 'Upload Payment' is accessible from the sidebar on all Payables screens</t>
  </si>
  <si>
    <t>1. Navigate across different Payables views/tabs
2. Confirm 'Upload Payment' remains visible at the bottom of the sidebar</t>
  </si>
  <si>
    <t>Upload Payment' action is always visible and opens the 'Upload Payment File' screen from any Payables view</t>
  </si>
  <si>
    <t>TC_PAY_063</t>
  </si>
  <si>
    <t>Verify the sample Payment CSV template downloads correctly</t>
  </si>
  <si>
    <t>1. Open 'Upload Payment File' screen
2. Click 'Click here to download sample format Payment CSV file'</t>
  </si>
  <si>
    <t>A CSV template file downloads successfully with the expected header columns</t>
  </si>
  <si>
    <t>TC_PAY_064</t>
  </si>
  <si>
    <t>Verify drag-and-drop upload of a valid CSV file</t>
  </si>
  <si>
    <t>1. Open 'Upload Payment File' screen
2. Drag and drop a valid, correctly formatted CSV onto the drop-zone</t>
  </si>
  <si>
    <t>File: valid_payment_batch.csv (&lt; 10 MB)</t>
  </si>
  <si>
    <t>File is accepted, shows 'Scanning file for malware...', and is ready for 'Generate Payment File'</t>
  </si>
  <si>
    <t>TC_PAY_065</t>
  </si>
  <si>
    <t>Verify 'Click here to upload' opens a file browser and accepts a valid CSV</t>
  </si>
  <si>
    <t>1. Open 'Upload Payment File' screen
2. Click the upload link/drop-zone text and select a valid CSV via the file dialog</t>
  </si>
  <si>
    <t>File: valid_payment_batch.csv</t>
  </si>
  <si>
    <t>File browser opens; selected CSV is accepted for upload</t>
  </si>
  <si>
    <t>TC_PAY_066</t>
  </si>
  <si>
    <t>Verify the upload rejects non-CSV file types</t>
  </si>
  <si>
    <t>1. Open 'Upload Payment File' screen
2. Attempt to upload a .xlsx, .pdf, or .jpg file</t>
  </si>
  <si>
    <t>File: payment_batch.xlsx</t>
  </si>
  <si>
    <t>Upload is rejected with a message indicating only CSV files are accepted</t>
  </si>
  <si>
    <t>TC_PAY_067</t>
  </si>
  <si>
    <t>Verify the upload rejects files larger than 10 MB</t>
  </si>
  <si>
    <t>1. Open 'Upload Payment File' screen
2. Attempt to upload a CSV file larger than 10 MB</t>
  </si>
  <si>
    <t>File: oversized_payment_batch.csv (&gt; 10 MB)</t>
  </si>
  <si>
    <t>Upload is rejected with a file-size-limit error message</t>
  </si>
  <si>
    <t>TC_PAY_068</t>
  </si>
  <si>
    <t>Verify 'Scanning file for malware...' is displayed during the upload/scan step</t>
  </si>
  <si>
    <t>1. Upload a valid CSV file
2. Observe the interim scanning state</t>
  </si>
  <si>
    <t>Scanning file for malware...' message and 'Secure 256-bit SSL encrypted upload' note are displayed during the scan</t>
  </si>
  <si>
    <t>TC_PAY_069</t>
  </si>
  <si>
    <t>Verify a file flagged by the malware scan is rejected and not processed</t>
  </si>
  <si>
    <t>1. Upload a file that would be flagged as malicious by the scan (test file per security team's EICAR-style test asset)</t>
  </si>
  <si>
    <t>File: test-malware-flagged file (per security test asset)</t>
  </si>
  <si>
    <t>File is rejected with an appropriate error; 'Generate Payment File' cannot proceed with this file</t>
  </si>
  <si>
    <t>TC_PAY_070</t>
  </si>
  <si>
    <t>Verify 'Generate Payment File' triggers processing of the uploaded CSV</t>
  </si>
  <si>
    <t>1. Upload a valid CSV that passes the malware scan
2. Click 'Generate Payment File'</t>
  </si>
  <si>
    <t>Bulk processing begins and the processing/progress screen is displayed</t>
  </si>
  <si>
    <t>TC_PAY_071</t>
  </si>
  <si>
    <t>Verify 'Generate Payment File' is disabled/unavailable until a valid file has been uploaded</t>
  </si>
  <si>
    <t>1. Open 'Upload Payment File' screen without uploading any file
2. Attempt to click 'Generate Payment File'</t>
  </si>
  <si>
    <t>Generate Payment File' is disabled or shows a validation prompt requiring a file to be uploaded first</t>
  </si>
  <si>
    <t>TC_PAY_072</t>
  </si>
  <si>
    <t>Payables - Bulk Payment Processing &amp; Results</t>
  </si>
  <si>
    <t>Verify the processing screen shows correct progress details</t>
  </si>
  <si>
    <t>1. Upload a valid CSV with multiple payable invoices
2. Click 'Generate Payment File'
3. Observe the processing screen</t>
  </si>
  <si>
    <t>File with N = 5 payable invoices</t>
  </si>
  <si>
    <t>Processing Bulk Invoice Payments - We are executing transactions for 5 invoices' is shown with a percentage progress bar, 'Processed: X / 5', a Batch ID, and elapsed time</t>
  </si>
  <si>
    <t>TC_PAY_073</t>
  </si>
  <si>
    <t>Verify the 'do not close or reload' warning is displayed during processing</t>
  </si>
  <si>
    <t>1. Start bulk processing of a valid file
2. Observe the warning text on the processing screen</t>
  </si>
  <si>
    <t>Please do not close or reload this page' is clearly displayed while processing is in progress</t>
  </si>
  <si>
    <t>TC_PAY_074</t>
  </si>
  <si>
    <t>Verify a fully successful bulk payment shows the completed summary with zero failures</t>
  </si>
  <si>
    <t>1. Upload and process a CSV where all rows are valid payable invoices
2. Wait for processing to complete</t>
  </si>
  <si>
    <t>File with N = 5 payable, valid invoices</t>
  </si>
  <si>
    <t>Bulk Payment Completed - Successfully processed 5 invoices. 0 invoices failed.' is shown with a 'Go to Payables' action</t>
  </si>
  <si>
    <t>TC_PAY_075</t>
  </si>
  <si>
    <t>Verify 'Go to Payables' from the success screen returns to the Payables grid</t>
  </si>
  <si>
    <t>1. Complete a successful bulk payment
2. Click 'Go to Payables'</t>
  </si>
  <si>
    <t>User is navigated back to the main Payables grid view</t>
  </si>
  <si>
    <t>TC_PAY_076</t>
  </si>
  <si>
    <t>Verify uploading a CSV containing only already-SETTLED invoices shows 'No Payable Invoices'</t>
  </si>
  <si>
    <t>1. Prepare a CSV referencing invoices that are already fully SETTLED
2. Upload and click 'Generate Payment File'</t>
  </si>
  <si>
    <t>File referencing invoices with status SETTLED</t>
  </si>
  <si>
    <t>No Payable Invoices - The uploaded file does not contain any payable invoices. Review the rejection reasons below.' is shown</t>
  </si>
  <si>
    <t>TC_PAY_077</t>
  </si>
  <si>
    <t>Verify rejected-rows summary lists correct Invoice Number, Supplier, Amount, and Reason</t>
  </si>
  <si>
    <t>1. Trigger a 'No Payable Invoices' / partial-rejection result
2. Review the 'Rejected before processing' table</t>
  </si>
  <si>
    <t>Each rejected row shows correct Invoice Number, Business Name, Amount, and a Remarks/Reason (e.g. "Invoice status is 'SETTLED'; payment allowed only for PENDING or PARTIALLY_SETTLED invoices; Invoice fully paid.")</t>
  </si>
  <si>
    <t>TC_PAY_078</t>
  </si>
  <si>
    <t>Verify 'Download CSV' exports the rejected-rows list correctly</t>
  </si>
  <si>
    <t>1. From the rejection summary screen, click 'Download CSV'</t>
  </si>
  <si>
    <t>A CSV file downloads containing all rejected rows with their Invoice Number, Business Name, Amount, and Reason</t>
  </si>
  <si>
    <t>TC_PAY_079</t>
  </si>
  <si>
    <t>Verify 'Upload Another File' allows resubmission of a corrected file</t>
  </si>
  <si>
    <t>1. From the rejection summary screen, click 'Upload Another File'
2. Upload a corrected, valid CSV</t>
  </si>
  <si>
    <t>File: corrected_payment_batch.csv</t>
  </si>
  <si>
    <t>User is returned to the Upload Payment File screen and can successfully upload/process a new file</t>
  </si>
  <si>
    <t>TC_PAY_080</t>
  </si>
  <si>
    <t>Verify successfully processed invoices move from PENDING to a settled status and tiles update</t>
  </si>
  <si>
    <t>1. Note Settled/Outstanding/Amount Received/Pending Amount tiles before processing
2. Complete a successful bulk payment for N invoices
3. Recheck the tiles and the processed invoices' Payment Status</t>
  </si>
  <si>
    <t>Processed invoices show updated Payment Status (e.g. PAID/PAID OFFLINE); Settled, Outstanding, Amount Received, and Pending Amount tiles update accordingly</t>
  </si>
  <si>
    <t>TC_PAY_081</t>
  </si>
  <si>
    <t>Verify uploading an empty CSV file (no data rows) is handled with an appropriate error</t>
  </si>
  <si>
    <t>1. Prepare a CSV with header row only, no data rows
2. Upload and click 'Generate Payment File'</t>
  </si>
  <si>
    <t>File: empty_payment_batch.csv (headers only)</t>
  </si>
  <si>
    <t>An appropriate error/empty-file message is shown; processing does not proceed as if invoices were submitted</t>
  </si>
  <si>
    <t>Exact validation message not directly observed in recording; confirm with BA/Dev</t>
  </si>
  <si>
    <t>TC_PAY_082</t>
  </si>
  <si>
    <t>Verify uploading a CSV with missing mandatory columns is rejected with a clear error</t>
  </si>
  <si>
    <t>1. Prepare a CSV missing a required column (e.g. Invoice Number)
2. Upload and click 'Generate Payment File'</t>
  </si>
  <si>
    <t>File: payment_batch_missing_column.csv</t>
  </si>
  <si>
    <t>An error identifies the missing mandatory column(s) before/at processing; the file is not partially processed</t>
  </si>
  <si>
    <t>Exact required column list not directly observed in recording; confirm with BA/Dev per FSD Section 12</t>
  </si>
  <si>
    <t>TC_PAY_083</t>
  </si>
  <si>
    <t>Verify a CSV with invalid amount/date formats produces a row-level rejection reason</t>
  </si>
  <si>
    <t>1. Prepare a CSV with an invalid amount (e.g. text in an amount field) and an invalid date format
2. Upload and click 'Generate Payment File'</t>
  </si>
  <si>
    <t>File: payment_batch_invalid_formats.csv</t>
  </si>
  <si>
    <t>Affected rows are itemised in the rejection summary with a specific format-related Remarks/Reason, rather than a generic failure</t>
  </si>
  <si>
    <t>Exact date/amount format rules not directly observed in recording; confirm with BA/Dev per FSD Section 12</t>
  </si>
  <si>
    <t>TC_PAY_084</t>
  </si>
  <si>
    <t>Verify a mixed batch (some valid, some invalid rows) reports correct pass/fail counts and itemised rejections</t>
  </si>
  <si>
    <t>1. Prepare a CSV containing a mix of payable and non-payable/invalid invoice rows
2. Upload and click 'Generate Payment File'
3. Review the completion screen</t>
  </si>
  <si>
    <t>File with 3 payable + 2 non-payable rows</t>
  </si>
  <si>
    <t>Completion screen shows correct processed/failed counts (e.g. '3 invoices processed, 2 invoices failed'); failed rows are itemised with reasons and successful rows are settled</t>
  </si>
  <si>
    <t>Partial-success scenario was not directly observed in the recording (only full-success and full-rejection were shown); confirm exact UI behaviour with BA/Dev</t>
  </si>
  <si>
    <t>TC_EML_001</t>
  </si>
  <si>
    <t>Email Notif - Login OTP</t>
  </si>
  <si>
    <t>Verify Login OTP email is sent on successful sign-in with valid username and password</t>
  </si>
  <si>
    <t>1. Navigate to the login screen
2. Enter a valid username and password
3. Click 'Login'</t>
  </si>
  <si>
    <t>Valid username + valid password</t>
  </si>
  <si>
    <t>An OTP email is sent to the user's registered email address, and the user is prompted to enter the OTP to complete login</t>
  </si>
  <si>
    <t>TC_EML_002</t>
  </si>
  <si>
    <t>Verify Login OTP email contains a valid, correctly formatted OTP code</t>
  </si>
  <si>
    <t>1. Log in with valid credentials
2. Open the received OTP email</t>
  </si>
  <si>
    <t>Email contains a numeric OTP of the expected length (e.g. 6 digits) with no formatting errors</t>
  </si>
  <si>
    <t>TC_EML_003</t>
  </si>
  <si>
    <t>Verify entering the correct Login OTP completes the login successfully</t>
  </si>
  <si>
    <t>1. Log in with valid credentials
2. Retrieve the OTP from the email
3. Enter the OTP on the verification screen</t>
  </si>
  <si>
    <t>Correct OTP from email</t>
  </si>
  <si>
    <t>User is successfully logged in and redirected to the dashboard/home screen</t>
  </si>
  <si>
    <t>TC_EML_004</t>
  </si>
  <si>
    <t>Verify Login OTP email is NOT sent when an invalid password is entered</t>
  </si>
  <si>
    <t>1. Navigate to the login screen
2. Enter a valid username with an incorrect password
3. Click 'Login'</t>
  </si>
  <si>
    <t>Valid username + invalid password</t>
  </si>
  <si>
    <t>Login is rejected with an appropriate error message; no OTP email is sent</t>
  </si>
  <si>
    <t>TC_EML_005</t>
  </si>
  <si>
    <t>Verify Login OTP email is NOT sent for a non-existent username</t>
  </si>
  <si>
    <t>1. Enter a username that does not exist in the system, with any password
2. Click 'Login'</t>
  </si>
  <si>
    <t>Non-existent username</t>
  </si>
  <si>
    <t>TC_EML_006</t>
  </si>
  <si>
    <t>Verify entering an incorrect OTP does not complete login</t>
  </si>
  <si>
    <t>1. Log in with valid credentials to trigger the OTP email
2. Enter an incorrect/random OTP on the verification screen</t>
  </si>
  <si>
    <t>Incorrect OTP</t>
  </si>
  <si>
    <t>Login is rejected with a validation error; user remains on the OTP verification screen</t>
  </si>
  <si>
    <t>TC_EML_007</t>
  </si>
  <si>
    <t>Verify an expired Login OTP is rejected</t>
  </si>
  <si>
    <t>1. Log in with valid credentials to trigger the OTP email
2. Wait beyond the OTP's validity window
3. Enter the (now expired) OTP</t>
  </si>
  <si>
    <t>System rejects the expired OTP with a clear 'OTP expired' message and offers a resend option</t>
  </si>
  <si>
    <t>Exact OTP validity duration not specified by Dev - confirm timing before executing</t>
  </si>
  <si>
    <t>TC_EML_008</t>
  </si>
  <si>
    <t>Verify the Login OTP email is sent to the correct registered email address only</t>
  </si>
  <si>
    <t>1. Log in with valid credentials for User A
2. Check the inbox of User A and of a different user, User B</t>
  </si>
  <si>
    <t>User A's valid credentials</t>
  </si>
  <si>
    <t>OTP email is delivered only to User A's registered email address; User B's inbox does not receive it</t>
  </si>
  <si>
    <t>TC_EML_009</t>
  </si>
  <si>
    <t>Verify a resend OTP request sends a new Login OTP email and invalidates the previous one</t>
  </si>
  <si>
    <t>1. Log in with valid credentials to trigger the first OTP email
2. Click 'Resend OTP'
3. Attempt to use the original OTP, then the new OTP</t>
  </si>
  <si>
    <t>A new OTP email is sent; the original OTP no longer works, and the new OTP successfully completes login</t>
  </si>
  <si>
    <t>TC_EML_010</t>
  </si>
  <si>
    <t>Verify repeated invalid OTP attempts trigger an account lockout or throttling response</t>
  </si>
  <si>
    <t>1. Log in with valid credentials
2. Enter an incorrect OTP multiple times in a row</t>
  </si>
  <si>
    <t>Multiple incorrect OTP attempts</t>
  </si>
  <si>
    <t>After the configured number of failed attempts, the system locks the OTP entry or enforces a cooldown period</t>
  </si>
  <si>
    <t>Exact lockout/retry limit not specified by Dev - confirm before executing</t>
  </si>
  <si>
    <t>TC_EML_011</t>
  </si>
  <si>
    <t>Email Notif - Forgot Password OTP</t>
  </si>
  <si>
    <t>Verify Forgot Password OTP email is sent when a registered user selects 'Forgot Password'</t>
  </si>
  <si>
    <t>1. On the login screen, click 'Forgot Password'
2. Enter a registered username/email
3. Submit the request</t>
  </si>
  <si>
    <t>Registered username/email</t>
  </si>
  <si>
    <t>An OTP email is sent to the user's registered email address to verify the password-reset request</t>
  </si>
  <si>
    <t>TC_EML_012</t>
  </si>
  <si>
    <t>Verify entering the correct Forgot Password OTP allows the user to set a new password</t>
  </si>
  <si>
    <t>1. Trigger a Forgot Password request
2. Retrieve the OTP from the email
3. Enter the OTP and set a new password</t>
  </si>
  <si>
    <t>Password reset completes successfully, and the user can log in with the new password</t>
  </si>
  <si>
    <t>TC_EML_013</t>
  </si>
  <si>
    <t>Verify Forgot Password OTP email is NOT sent for a non-existent/unregistered email address</t>
  </si>
  <si>
    <t>1. Click 'Forgot Password'
2. Enter an email address that is not registered
3. Submit the request</t>
  </si>
  <si>
    <t>Unregistered email address</t>
  </si>
  <si>
    <t>System either shows a generic confirmation without disclosing account existence, or an appropriate error; no OTP email is sent to any real inbox</t>
  </si>
  <si>
    <t>TC_EML_014</t>
  </si>
  <si>
    <t>Verify an incorrect Forgot Password OTP is rejected</t>
  </si>
  <si>
    <t>1. Trigger a Forgot Password request
2. Enter an incorrect OTP on the verification screen</t>
  </si>
  <si>
    <t>System rejects the OTP with a validation error and does not allow a password reset</t>
  </si>
  <si>
    <t>TC_EML_015</t>
  </si>
  <si>
    <t>Verify an expired Forgot Password OTP is rejected</t>
  </si>
  <si>
    <t>1. Trigger a Forgot Password request
2. Wait beyond the OTP's validity window
3. Enter the expired OTP</t>
  </si>
  <si>
    <t>System rejects the expired OTP with a clear message and offers a resend option</t>
  </si>
  <si>
    <t>TC_EML_016</t>
  </si>
  <si>
    <t>Verify the old password no longer works after a successful password reset via OTP</t>
  </si>
  <si>
    <t>1. Complete a password reset via Forgot Password OTP
2. Attempt to log in with the old password</t>
  </si>
  <si>
    <t>Old password</t>
  </si>
  <si>
    <t>Login with the old password fails; only the new password succeeds</t>
  </si>
  <si>
    <t>TC_EML_017</t>
  </si>
  <si>
    <t>Verify a Forgot Password OTP cannot be reused after successful password reset</t>
  </si>
  <si>
    <t>1. Complete a password reset using a valid OTP
2. Attempt to reuse the same OTP for another reset request</t>
  </si>
  <si>
    <t>Previously used OTP</t>
  </si>
  <si>
    <t>System rejects the reused OTP as invalid/expired</t>
  </si>
  <si>
    <t>TC_EML_018</t>
  </si>
  <si>
    <t>Verify Forgot Password OTP email is sent only to the account owner's registered email, not a manually entered alternate email</t>
  </si>
  <si>
    <t>1. Click 'Forgot Password'
2. If the form allows entering an alternate email, submit an email different from the one on record</t>
  </si>
  <si>
    <t>Alternate/unregistered email for an existing account</t>
  </si>
  <si>
    <t>OTP is sent only to the email address on record for that account, not to any user-entered alternate address</t>
  </si>
  <si>
    <t>TC_EML_019</t>
  </si>
  <si>
    <t>Email Notif - New Admin/BO User Credentials</t>
  </si>
  <si>
    <t>Verify a credentials email is sent when an admin creates a new back-office/admin user account</t>
  </si>
  <si>
    <t>1. Log in as an existing admin
2. Create a new back-office/admin user account with a valid email address</t>
  </si>
  <si>
    <t>Valid new user email address</t>
  </si>
  <si>
    <t>An email is sent to the new user's email address containing the system-generated password</t>
  </si>
  <si>
    <t>TC_EML_020</t>
  </si>
  <si>
    <t>Verify the credentials email contains a working system-generated password</t>
  </si>
  <si>
    <t>1. Create a new back-office/admin user
2. Retrieve the password from the received email
3. Log in using the new username and the emailed password</t>
  </si>
  <si>
    <t>System-generated password from email</t>
  </si>
  <si>
    <t>Login succeeds on first attempt using the emailed credentials</t>
  </si>
  <si>
    <t>TC_EML_021</t>
  </si>
  <si>
    <t>Verify the new user is prompted to change the system-generated password on first login</t>
  </si>
  <si>
    <t>1. Log in for the first time using the emailed credentials</t>
  </si>
  <si>
    <t>System-generated password</t>
  </si>
  <si>
    <t>User is prompted/forced to set a new password before proceeding further</t>
  </si>
  <si>
    <t>Forced password-change-on-first-login behaviour not explicitly confirmed by Dev - verify expected behaviour</t>
  </si>
  <si>
    <t>TC_EML_022</t>
  </si>
  <si>
    <t>Verify new user creation fails gracefully, and no credentials email is sent, when an invalid email address is entered</t>
  </si>
  <si>
    <t>1. Attempt to create a new back-office/admin user using a malformed email address (e.g. 'abc@@test')</t>
  </si>
  <si>
    <t>Malformed email address</t>
  </si>
  <si>
    <t>Account creation is blocked with a validation error; no credentials email is sent</t>
  </si>
  <si>
    <t>TC_EML_023</t>
  </si>
  <si>
    <t>Verify a credentials email is NOT sent when account creation fails due to a duplicate username/email</t>
  </si>
  <si>
    <t>1. Attempt to create a new back-office/admin user using a username/email that already exists</t>
  </si>
  <si>
    <t>Duplicate username/email</t>
  </si>
  <si>
    <t>Account creation is blocked with a 'already exists' validation error; no credentials email is sent</t>
  </si>
  <si>
    <t>TC_EML_024</t>
  </si>
  <si>
    <t>Verify only an authorised admin role can trigger creation of a new back-office/admin user (and its credentials email)</t>
  </si>
  <si>
    <t>1. Attempt to access the 'create back-office/admin user' function using a non-admin role</t>
  </si>
  <si>
    <t>Non-admin user role</t>
  </si>
  <si>
    <t>Access is denied; the user creation function (and its credentials email) cannot be triggered</t>
  </si>
  <si>
    <t>TC_EML_025</t>
  </si>
  <si>
    <t>Verify the credentials email is sent only to the newly created user's email, not to the creating admin</t>
  </si>
  <si>
    <t>1. As Admin A, create a new user with email X
2. Check Admin A's inbox and the new user's (email X) inbox</t>
  </si>
  <si>
    <t>The credentials email is delivered only to email X; Admin A's inbox does not receive a copy unless explicitly designed to</t>
  </si>
  <si>
    <t>TC_EML_026</t>
  </si>
  <si>
    <t>Email Notif - Email Verification Link</t>
  </si>
  <si>
    <t>Verify a verification email with a clickable link is sent when a user requests email verification</t>
  </si>
  <si>
    <t>1. As a user, request email address verification (e.g. during registration or profile update)</t>
  </si>
  <si>
    <t>Valid email address</t>
  </si>
  <si>
    <t>A verification email is sent containing a clickable link</t>
  </si>
  <si>
    <t>TC_EML_027</t>
  </si>
  <si>
    <t>Verify clicking the verification link successfully marks the email address as verified</t>
  </si>
  <si>
    <t>1. Request email verification
2. Open the email and click the verification link</t>
  </si>
  <si>
    <t>The email address status updates to 'Verified' and the user/admin sees a success confirmation</t>
  </si>
  <si>
    <t>TC_EML_028</t>
  </si>
  <si>
    <t>Verify a verification email is sent when an admin requests verification on behalf of a user</t>
  </si>
  <si>
    <t>1. As an admin, trigger email verification for a user's email address</t>
  </si>
  <si>
    <t>A verification email with a clickable link is sent to that user's email address</t>
  </si>
  <si>
    <t>TC_EML_029</t>
  </si>
  <si>
    <t>Verify an expired verification link is rejected</t>
  </si>
  <si>
    <t>1. Request email verification
2. Wait beyond the link's validity window
3. Click the expired link</t>
  </si>
  <si>
    <t>System shows a clear 'link expired' message and offers a way to request a new verification email</t>
  </si>
  <si>
    <t>Exact link validity duration not specified by Dev - confirm timing before executing</t>
  </si>
  <si>
    <t>TC_EML_030</t>
  </si>
  <si>
    <t>Verify a verification link cannot be reused after the email has already been verified</t>
  </si>
  <si>
    <t>1. Successfully verify an email using the link
2. Click the same link again</t>
  </si>
  <si>
    <t>Previously used verification link</t>
  </si>
  <si>
    <t>System indicates the email is already verified and does not process the link a second time</t>
  </si>
  <si>
    <t>TC_EML_031</t>
  </si>
  <si>
    <t>Verify a malformed or tampered verification link is rejected</t>
  </si>
  <si>
    <t>1. Modify part of a valid verification link's token/parameters
2. Attempt to open the modified link</t>
  </si>
  <si>
    <t>Tampered verification link</t>
  </si>
  <si>
    <t>System rejects the invalid link with an appropriate error and does not mark any email as verified</t>
  </si>
  <si>
    <t>TC_EML_032</t>
  </si>
  <si>
    <t>Verify a verification email is NOT sent for a malformed email address</t>
  </si>
  <si>
    <t>1. Attempt to request email verification using a malformed email address</t>
  </si>
  <si>
    <t>Request is blocked by validation; no verification email is sent</t>
  </si>
  <si>
    <t>TC_EML_033</t>
  </si>
  <si>
    <t>Email Notif - Supplier Submitted to Geidea</t>
  </si>
  <si>
    <t>Verify an email is triggered once a supplier's PSP submission completes and the signed Geidea document is generated</t>
  </si>
  <si>
    <t>1. Complete a supplier's PSP submission flow end-to-end so the signed Geidea document is generated</t>
  </si>
  <si>
    <t>Completed PSP submission</t>
  </si>
  <si>
    <t>An email notification is sent once the signed Geidea document is generated</t>
  </si>
  <si>
    <t>Exact recipient(s) not specified by Dev - confirm with BA/Dev before finalising expected result</t>
  </si>
  <si>
    <t>TC_EML_034</t>
  </si>
  <si>
    <t>Verify the Geidea submission email includes or references the signed document</t>
  </si>
  <si>
    <t>1. Complete a supplier PSP submission
2. Open the resulting notification email</t>
  </si>
  <si>
    <t>Email content references the signed Geidea document (e.g. attached or linked) and confirms submission completion</t>
  </si>
  <si>
    <t>TC_EML_035</t>
  </si>
  <si>
    <t>Verify no Geidea submission email is sent if the PSP submission fails or is incomplete</t>
  </si>
  <si>
    <t>1. Start a supplier PSP submission but do not complete it, or force a failure partway through</t>
  </si>
  <si>
    <t>Incomplete/failed PSP submission</t>
  </si>
  <si>
    <t>No 'submitted to Geidea' email is sent, since the signed document was never generated</t>
  </si>
  <si>
    <t>TC_EML_036</t>
  </si>
  <si>
    <t>Verify no duplicate Geidea submission emails are sent for the same completed submission</t>
  </si>
  <si>
    <t>1. Complete a supplier PSP submission successfully
2. Reload/resubmit the same completed record without triggering a new submission</t>
  </si>
  <si>
    <t>Only one notification email is sent for the original completion; no duplicate is generated</t>
  </si>
  <si>
    <t>TC_EML_037</t>
  </si>
  <si>
    <t>Email Notif - Invoice PDF (CSV+PDF Ingestion)</t>
  </si>
  <si>
    <t>Verify the matched invoice PDF email is sent to the Buyer with the Supplier in CC after successful CSV+PDF matching</t>
  </si>
  <si>
    <t>1. Upload a CSV and corresponding PDF set through the ingestion upload flow
2. Allow the matching process to complete successfully</t>
  </si>
  <si>
    <t>Valid CSV + matching PDF invoices</t>
  </si>
  <si>
    <t>An email is sent to the Buyer (To) with the Supplier in CC, containing the matched invoice PDF</t>
  </si>
  <si>
    <t>TC_EML_038</t>
  </si>
  <si>
    <t>Verify the emailed invoice PDF matches the correct invoice record from the CSV/PDF ingestion</t>
  </si>
  <si>
    <t>1. Complete a CSV+PDF ingestion for a specific invoice
2. Open the received email and inspect the attached PDF</t>
  </si>
  <si>
    <t>The attached/linked PDF corresponds exactly to the invoice matched in that ingestion run, with correct invoice number and amount</t>
  </si>
  <si>
    <t>TC_EML_039</t>
  </si>
  <si>
    <t>Verify no invoice PDF email is sent when the CSV and PDF fail to match</t>
  </si>
  <si>
    <t>1. Upload a CSV and a PDF set that do not match (e.g. mismatched invoice numbers or amounts)</t>
  </si>
  <si>
    <t>Non-matching CSV + PDF</t>
  </si>
  <si>
    <t>The ingestion flow reports a matching failure/rejection; no invoice PDF email is sent</t>
  </si>
  <si>
    <t>TC_EML_040</t>
  </si>
  <si>
    <t>Verify no invoice PDF email is sent if the CSV upload itself is invalid (e.g. wrong format)</t>
  </si>
  <si>
    <t>1. Upload an invalid/malformed CSV file</t>
  </si>
  <si>
    <t>Invalid CSV file</t>
  </si>
  <si>
    <t>Upload is rejected with a validation error; no invoice PDF email is sent</t>
  </si>
  <si>
    <t>TC_EML_041</t>
  </si>
  <si>
    <t>Verify the Supplier is correctly CC'd (not the primary recipient) on the invoice PDF email</t>
  </si>
  <si>
    <t>1. Complete a successful CSV+PDF ingestion match
2. Inspect the To/CC fields of the resulting email</t>
  </si>
  <si>
    <t>Buyer appears in the To field; Supplier appears in the CC field, not To</t>
  </si>
  <si>
    <t>TC_EML_042</t>
  </si>
  <si>
    <t>Verify a partially matched batch (some invoices match, some do not) only emails the successfully matched invoices</t>
  </si>
  <si>
    <t>1. Upload a CSV+PDF batch where some rows match and some do not</t>
  </si>
  <si>
    <t>Mixed batch: some matching, some non-matching rows</t>
  </si>
  <si>
    <t>Invoice PDF emails are sent only for the successfully matched invoices; non-matching rows are reported separately without triggering an email</t>
  </si>
  <si>
    <t>TC_EML_043</t>
  </si>
  <si>
    <t>Email Notif - Support Ticket Raised</t>
  </si>
  <si>
    <t>Verify raising a Business-category ticket sends the notification to the Business Support team</t>
  </si>
  <si>
    <t>1. As a buyer or supplier, raise a support ticket
2. Select a Business-related category (e.g. Bank Account Update)</t>
  </si>
  <si>
    <t>Category: Business (e.g. Bank Account Update)</t>
  </si>
  <si>
    <t>An email notification is sent to the Business Support team's inbox</t>
  </si>
  <si>
    <t>TC_EML_044</t>
  </si>
  <si>
    <t>Verify raising a Technical-category ticket sends the notification to the Technical Support team</t>
  </si>
  <si>
    <t>1. As a buyer or supplier, raise a support ticket
2. Select a Technical-related category (e.g. Application Issue)</t>
  </si>
  <si>
    <t>Category: Technical (e.g. Application Issue)</t>
  </si>
  <si>
    <t>An email notification is sent to the Technical Support team's inbox</t>
  </si>
  <si>
    <t>TC_EML_045</t>
  </si>
  <si>
    <t>Verify a Business-category ticket notification is NOT also sent to the Technical Support team</t>
  </si>
  <si>
    <t>1. Raise a ticket with a Business category
2. Check the Technical Support team's inbox</t>
  </si>
  <si>
    <t>Category: Business</t>
  </si>
  <si>
    <t>Technical Support team does not receive the notification for this ticket</t>
  </si>
  <si>
    <t>TC_EML_046</t>
  </si>
  <si>
    <t>Verify a Technical-category ticket notification is NOT also sent to the Business Support team</t>
  </si>
  <si>
    <t>1. Raise a ticket with a Technical category
2. Check the Business Support team's inbox</t>
  </si>
  <si>
    <t>Category: Technical</t>
  </si>
  <si>
    <t>Business Support team does not receive the notification for this ticket</t>
  </si>
  <si>
    <t>TC_EML_047</t>
  </si>
  <si>
    <t>Verify no ticket notification email is sent if the ticket submission fails (e.g. missing mandatory fields)</t>
  </si>
  <si>
    <t>1. Attempt to raise a support ticket without selecting a mandatory category or description</t>
  </si>
  <si>
    <t>Ticket with missing mandatory fields</t>
  </si>
  <si>
    <t>Ticket submission is blocked by validation; no notification email is sent</t>
  </si>
  <si>
    <t>TC_EML_048</t>
  </si>
  <si>
    <t>Verify the ticket notification email contains correct ticket details (ID, category, description, raiser)</t>
  </si>
  <si>
    <t>1. Raise a support ticket with specific details
2. Open the resulting notification email</t>
  </si>
  <si>
    <t>Email contains the correct ticket ID, category, description, and identifies the buyer/supplier who raised it</t>
  </si>
  <si>
    <t>TC_EML_049</t>
  </si>
  <si>
    <t>Verify a ticket raised with an unrecognised/unmapped subcategory still routes correctly to a support team</t>
  </si>
  <si>
    <t>1. Raise a ticket using a subcategory that may not be explicitly mapped to a team, if such a case exists</t>
  </si>
  <si>
    <t>Unmapped subcategory</t>
  </si>
  <si>
    <t>Ticket still routes to a default/fallback support team rather than failing silently or sending no notification</t>
  </si>
  <si>
    <t>Fallback routing behaviour for unmapped subcategories not specified by Dev - confirm before executing</t>
  </si>
  <si>
    <t>TC_EML_050</t>
  </si>
  <si>
    <t>Email Notif - Invoice Raised/Received/Payment</t>
  </si>
  <si>
    <t>Verify an invoice-raised notification is sent to the Supplier (primary) and Buyer (secondary), with RM in CC</t>
  </si>
  <si>
    <t>1. Raise a new invoice against a buyer-supplier relationship that has an assigned RM</t>
  </si>
  <si>
    <t>Invoice with assigned RM</t>
  </si>
  <si>
    <t>Email is sent to the Supplier business as primary recipient and the Buyer business as secondary recipient, with the assigned RM in CC</t>
  </si>
  <si>
    <t>TC_EML_051</t>
  </si>
  <si>
    <t>Verify a payment notification is sent to the Supplier, Buyer, and RM when a payment event occurs</t>
  </si>
  <si>
    <t>1. Process a payment against an existing invoice</t>
  </si>
  <si>
    <t>Valid payment against an invoice</t>
  </si>
  <si>
    <t>Email is sent to the Supplier (primary), Buyer (secondary), with the RM in CC, confirming the payment event</t>
  </si>
  <si>
    <t>TC_EML_052</t>
  </si>
  <si>
    <t>Verify invoice/payment notifications are NOT sent if no RM is currently assigned</t>
  </si>
  <si>
    <t>1. Raise an invoice or process a payment for a buyer-supplier relationship with no RM assigned</t>
  </si>
  <si>
    <t>No RM assigned</t>
  </si>
  <si>
    <t>Notification is still sent to Supplier and Buyer; the CC field is simply omitted or blank for RM (system should not error out)</t>
  </si>
  <si>
    <t>Behaviour when no RM is assigned was not explicitly specified by Dev - confirm expected handling</t>
  </si>
  <si>
    <t>TC_EML_053</t>
  </si>
  <si>
    <t>Verify invoice notification is NOT sent if invoice creation fails validation</t>
  </si>
  <si>
    <t>1. Attempt to raise an invoice with missing/invalid mandatory fields</t>
  </si>
  <si>
    <t>Invalid invoice data</t>
  </si>
  <si>
    <t>Invoice creation is blocked by validation; no notification email is sent</t>
  </si>
  <si>
    <t>TC_EML_054</t>
  </si>
  <si>
    <t>Verify a payment notification is NOT sent for a failed/declined payment attempt</t>
  </si>
  <si>
    <t>1. Attempt a payment that is declined or fails</t>
  </si>
  <si>
    <t>Declined/failed payment</t>
  </si>
  <si>
    <t>No 'payment received' style notification is sent; a failure is handled separately if applicable</t>
  </si>
  <si>
    <t>TC_EML_055</t>
  </si>
  <si>
    <t>Verify the RM is updated correctly in CC if the RM is reassigned before the next invoice/payment event</t>
  </si>
  <si>
    <t>1. Reassign the RM for a buyer-supplier relationship
2. Raise a new invoice or process a payment</t>
  </si>
  <si>
    <t>Newly reassigned RM</t>
  </si>
  <si>
    <t>The new RM (not the previous one) is included in CC on the subsequent invoice/payment notification</t>
  </si>
  <si>
    <t>TC_EML_056</t>
  </si>
  <si>
    <t>Email Notif - Approval/Rejection &amp; Status Updates</t>
  </si>
  <si>
    <t>Verify a KYC/onboarding approval sends a notification to the respective user and all active administrators</t>
  </si>
  <si>
    <t>1. As an authorised approver, approve a pending KYC/onboarding record</t>
  </si>
  <si>
    <t>Pending KYC/onboarding record</t>
  </si>
  <si>
    <t>An email notification is sent to the affected user and to all active administrators</t>
  </si>
  <si>
    <t>TC_EML_057</t>
  </si>
  <si>
    <t>Verify a KYC/onboarding rejection sends a notification to the respective user and all active administrators</t>
  </si>
  <si>
    <t>1. As an authorised approver, reject a pending KYC/onboarding record</t>
  </si>
  <si>
    <t>An email notification is sent to the affected user and to all active administrators, reflecting the rejection</t>
  </si>
  <si>
    <t>TC_EML_058</t>
  </si>
  <si>
    <t>Verify a PSP approval sends a notification to the respective user and all active administrators</t>
  </si>
  <si>
    <t>1. As an authorised approver, approve a pending PSP submission</t>
  </si>
  <si>
    <t>Pending PSP submission</t>
  </si>
  <si>
    <t>TC_EML_059</t>
  </si>
  <si>
    <t>Verify a PSP rejection sends a notification to the respective user and all active administrators</t>
  </si>
  <si>
    <t>1. As an authorised approver, reject a pending PSP submission</t>
  </si>
  <si>
    <t>TC_EML_060</t>
  </si>
  <si>
    <t>Verify a ticket status change sends a notification to the respective user and all active administrators</t>
  </si>
  <si>
    <t>1. Change a support ticket's status (e.g. Open to In Progress, or In Progress to Closed)</t>
  </si>
  <si>
    <t>Ticket status change</t>
  </si>
  <si>
    <t>An email notification is sent to the ticket raiser and to all active administrators</t>
  </si>
  <si>
    <t>TC_EML_061</t>
  </si>
  <si>
    <t>Verify no approval/rejection notification is sent for a record with no status change</t>
  </si>
  <si>
    <t>1. Open a KYC/onboarding, PSP, or ticket record
2. Save it without changing its status</t>
  </si>
  <si>
    <t>No actual status change</t>
  </si>
  <si>
    <t>No notification email is sent, since the status did not change</t>
  </si>
  <si>
    <t>TC_EML_062</t>
  </si>
  <si>
    <t>Verify an inactive/deactivated administrator does NOT receive approval/rejection/status-update notifications</t>
  </si>
  <si>
    <t>1. Deactivate an administrator account
2. Approve or reject a KYC/onboarding/PSP record, or change a ticket status</t>
  </si>
  <si>
    <t>Deactivated administrator</t>
  </si>
  <si>
    <t>The deactivated administrator's inbox does not receive the notification; only active administrators do</t>
  </si>
  <si>
    <t>TC_EML_063</t>
  </si>
  <si>
    <t>Verify a newly activated administrator starts receiving these notifications going forward</t>
  </si>
  <si>
    <t>1. Activate a new/previously inactive administrator account
2. Trigger a KYC/onboarding approval or ticket status change</t>
  </si>
  <si>
    <t>Newly activated administrator</t>
  </si>
  <si>
    <t>The newly activated administrator receives the notification for this and subsequent status-change events</t>
  </si>
  <si>
    <t>TC_EML_064</t>
  </si>
  <si>
    <t>Verify an unauthorised user cannot trigger an approval/rejection action or its notification</t>
  </si>
  <si>
    <t>1. Attempt to approve/reject a KYC/onboarding or PSP record using a role without approval permissions</t>
  </si>
  <si>
    <t>Non-approver role</t>
  </si>
  <si>
    <t>Action is blocked by permission checks; no status change occurs and no notification is sent</t>
  </si>
  <si>
    <t>TC_EML_065</t>
  </si>
  <si>
    <t>Email Notif - Add Client (Buyer-Supplier Mapping)</t>
  </si>
  <si>
    <t>Verify creating a buyer-supplier relationship sends a notification to both the supplier and buyer businesses</t>
  </si>
  <si>
    <t>1. As an authorised user, create a new buyer-supplier relationship (Add Client)</t>
  </si>
  <si>
    <t>Valid buyer and supplier accounts</t>
  </si>
  <si>
    <t>An email notification is sent to both the supplier business and the buyer business confirming the new relationship</t>
  </si>
  <si>
    <t>TC_EML_066</t>
  </si>
  <si>
    <t>Verify the Add Client notification email correctly identifies both parties in the relationship</t>
  </si>
  <si>
    <t>1. Create a buyer-supplier relationship
2. Open the resulting notification emails for both parties</t>
  </si>
  <si>
    <t>Each email correctly names both the buyer and supplier involved in the newly created relationship</t>
  </si>
  <si>
    <t>TC_EML_067</t>
  </si>
  <si>
    <t>Verify no Add Client notification is sent if the relationship creation fails (e.g. duplicate mapping)</t>
  </si>
  <si>
    <t>1. Attempt to create a buyer-supplier relationship that already exists</t>
  </si>
  <si>
    <t>Duplicate buyer-supplier mapping</t>
  </si>
  <si>
    <t>Creation is blocked with a 'relationship already exists' validation error; no notification email is sent</t>
  </si>
  <si>
    <t>TC_EML_068</t>
  </si>
  <si>
    <t>Verify no Add Client notification is sent if either the buyer or supplier account is invalid/inactive</t>
  </si>
  <si>
    <t>1. Attempt to create a buyer-supplier relationship where one party's account is inactive or invalid</t>
  </si>
  <si>
    <t>Inactive/invalid buyer or supplier account</t>
  </si>
  <si>
    <t>Creation is blocked with an appropriate validation error; no notification email is sent</t>
  </si>
  <si>
    <t>TC_EML_069</t>
  </si>
  <si>
    <t>Verify removing/deactivating a buyer-supplier relationship does not incorrectly trigger an 'Add Client' notification</t>
  </si>
  <si>
    <t>1. Deactivate or remove an existing buyer-supplier relationship</t>
  </si>
  <si>
    <t>No 'Add Client created' notification is sent for a removal action; if a removal notification exists it is a separate, correctly worded event</t>
  </si>
  <si>
    <t>TC_EML_070</t>
  </si>
  <si>
    <t>Email Notif - RM Reassignment/Doc Expiry/Reports</t>
  </si>
  <si>
    <t>Verify an RM reassignment sends a notification to the registered user and all active administrators</t>
  </si>
  <si>
    <t>1. Reassign the Relationship Manager for a supplier or buyer account</t>
  </si>
  <si>
    <t>Valid RM reassignment</t>
  </si>
  <si>
    <t>An email notification is sent to the registered user of that account and to all active administrators</t>
  </si>
  <si>
    <t>TC_EML_071</t>
  </si>
  <si>
    <t>Verify a document expiry reminder is sent to the registered user and all active administrators as the expiry date approaches</t>
  </si>
  <si>
    <t>1. Allow a KYC/compliance document to reach its configured reminder threshold before expiry</t>
  </si>
  <si>
    <t>Document nearing expiry</t>
  </si>
  <si>
    <t>An email reminder is sent to the registered user of that account and to all active administrators</t>
  </si>
  <si>
    <t>TC_EML_072</t>
  </si>
  <si>
    <t>Verify a document expiry notification is sent again once the document has fully expired</t>
  </si>
  <si>
    <t>1. Allow a document to pass its expiry date without renewal</t>
  </si>
  <si>
    <t>Expired document</t>
  </si>
  <si>
    <t>A further notification (or escalation) is sent to the registered user and all active administrators indicating the document has expired</t>
  </si>
  <si>
    <t>TC_EML_073</t>
  </si>
  <si>
    <t>Verify a scheduled report notification is sent to the registered user and all active administrators when the report run completes</t>
  </si>
  <si>
    <t>1. Allow a configured scheduled report to run to completion</t>
  </si>
  <si>
    <t>Scheduled report run</t>
  </si>
  <si>
    <t>An email notification (with or without the report attached/linked) is sent to the registered user and all active administrators</t>
  </si>
  <si>
    <t>TC_EML_074</t>
  </si>
  <si>
    <t>Verify no document expiry reminder is sent for a document that has already been renewed/replaced</t>
  </si>
  <si>
    <t>1. Renew/replace a document before its reminder threshold is reached
2. Allow time to pass to when the old reminder would have fired</t>
  </si>
  <si>
    <t>Renewed document</t>
  </si>
  <si>
    <t>No expiry reminder is sent for the old (now superseded) document</t>
  </si>
  <si>
    <t>TC_EML_075</t>
  </si>
  <si>
    <t>Verify no RM reassignment notification is sent if the reassignment request fails validation</t>
  </si>
  <si>
    <t>1. Attempt an RM reassignment with invalid/missing required data</t>
  </si>
  <si>
    <t>Invalid RM reassignment request</t>
  </si>
  <si>
    <t>Reassignment is blocked by validation; no notification email is sent</t>
  </si>
  <si>
    <t>TC_EML_076</t>
  </si>
  <si>
    <t>Verify a scheduled report notification is NOT sent if the report run fails</t>
  </si>
  <si>
    <t>1. Simulate or trigger a scheduled report run failure (e.g. data source unavailable)</t>
  </si>
  <si>
    <t>Failed scheduled report run</t>
  </si>
  <si>
    <t>No 'report ready' notification is sent for the failed run; a failure alert is handled separately if applicable</t>
  </si>
  <si>
    <t>TC_EML_077</t>
  </si>
  <si>
    <t>Verify a deactivated administrator does not receive RM reassignment, document expiry, or scheduled report notifications</t>
  </si>
  <si>
    <t>1. Deactivate an administrator account
2. Trigger an RM reassignment, a document expiry reminder, or a scheduled report run</t>
  </si>
  <si>
    <t>The deactivated administrator does not receive any of these notifications; only active administrators do</t>
  </si>
  <si>
    <t>TC_EML_078</t>
  </si>
  <si>
    <t>Email Notif - General</t>
  </si>
  <si>
    <t>Verify all outbound notification emails are sent from a consistent, recognisable sender address</t>
  </si>
  <si>
    <t>1. Trigger several different notification types
2. Inspect the 'From' address on each received email</t>
  </si>
  <si>
    <t>All notification emails use a consistent, correctly configured sender address/domain</t>
  </si>
  <si>
    <t>TC_EML_079</t>
  </si>
  <si>
    <t>Verify none of the notification emails expose sensitive data beyond what is required (e.g. full card numbers, other users' data)</t>
  </si>
  <si>
    <t>1. Trigger each of the 11 notification types
2. Review the content of each email for sensitive data exposure</t>
  </si>
  <si>
    <t>No email exposes sensitive information beyond what is functionally necessary (e.g. passwords in plain, unrelated user data)</t>
  </si>
  <si>
    <t>TC_EML_080</t>
  </si>
  <si>
    <t>Verify notification emails render correctly (no broken layout/placeholders) across common email clients</t>
  </si>
  <si>
    <t>1. Trigger a sample of notification emails
2. Open them in at least two different email clients/webmail providers</t>
  </si>
  <si>
    <t>Emails render with correct formatting, no broken images, and no unresolved template placeholders (e.g. '{{username}}')</t>
  </si>
  <si>
    <t>TC_EML_081</t>
  </si>
  <si>
    <t>Verify a temporary email delivery failure (e.g. SMTP outage) does not silently drop a notification without retry or logging</t>
  </si>
  <si>
    <t>1. Simulate an SMTP/email service outage
2. Trigger a notification during the outage</t>
  </si>
  <si>
    <t>Simulated email service outage</t>
  </si>
  <si>
    <t>The system retries delivery once the service is restored, or logs the failure for manual follow-up, rather than silently discarding it</t>
  </si>
  <si>
    <t>Retry/failure-logging behaviour not specified by Dev - confirm expected handling before executing</t>
  </si>
  <si>
    <t>TC_IAN_001</t>
  </si>
  <si>
    <t>InApp Notif - Onboarding &amp; KYC</t>
  </si>
  <si>
    <t>Verify an in-app notification is raised when a buyer/supplier completes onboarding and status changes to KYC Pending</t>
  </si>
  <si>
    <t>1. As a Buyer or Supplier, complete the onboarding application fully
2. Submit the application</t>
  </si>
  <si>
    <t>Complete onboarding application</t>
  </si>
  <si>
    <t>An in-app notification is raised for the Back Office/KYC review team indicating a new onboarding submission is pending review</t>
  </si>
  <si>
    <t>Recipient/audience for this notification was not specified by Dev - confirmed only as a PM inference in the FSD; verify actual recipient before treating this as a hard pass/fail criterion.</t>
  </si>
  <si>
    <t>TC_IAN_002</t>
  </si>
  <si>
    <t>Verify no onboarding-submitted notification is raised if the application fails validation</t>
  </si>
  <si>
    <t>1. Attempt to submit an onboarding application with missing mandatory fields</t>
  </si>
  <si>
    <t>Incomplete onboarding application</t>
  </si>
  <si>
    <t>Submission is blocked by validation; no in-app notification is raised</t>
  </si>
  <si>
    <t>TC_IAN_003</t>
  </si>
  <si>
    <t>Verify an in-app notification is raised to the submitting Buyer/Supplier when Back Office approves the KYC</t>
  </si>
  <si>
    <t>1. As Back Office, approve a pending KYC application</t>
  </si>
  <si>
    <t>Pending KYC application</t>
  </si>
  <si>
    <t>The submitting Buyer/Supplier receives an in-app notification confirming KYC approval</t>
  </si>
  <si>
    <t>TC_IAN_004</t>
  </si>
  <si>
    <t>Verify no KYC Approved notification is raised if the record is saved without an actual status change</t>
  </si>
  <si>
    <t>1. Open an already-approved KYC record
2. Save it again without changing its status</t>
  </si>
  <si>
    <t>No duplicate/new in-app notification is raised, since the status did not change</t>
  </si>
  <si>
    <t>TC_IAN_005</t>
  </si>
  <si>
    <t>Verify an in-app notification is raised to the submitting Buyer/Supplier when Back Office rejects the KYC</t>
  </si>
  <si>
    <t>1. As Back Office, reject a pending KYC application</t>
  </si>
  <si>
    <t>The submitting Buyer/Supplier receives an in-app notification indicating KYC rejection</t>
  </si>
  <si>
    <t>TC_IAN_006</t>
  </si>
  <si>
    <t>Verify a KYC Rejected notification is NOT visible to any other unrelated Buyer/Supplier account</t>
  </si>
  <si>
    <t>1. Reject a KYC application belonging to Buyer/Supplier A
2. Log in as an unrelated Buyer/Supplier B and check their notification centre</t>
  </si>
  <si>
    <t>Unrelated account B</t>
  </si>
  <si>
    <t>Buyer/Supplier B does not see the KYC Rejected notification belonging to account A</t>
  </si>
  <si>
    <t>TC_IAN_007</t>
  </si>
  <si>
    <t>Verify an in-app notification is raised to the submitting Buyer/Supplier when Back Office requests KYC resubmission</t>
  </si>
  <si>
    <t>1. As Back Office, mark a pending KYC application as requiring resubmission</t>
  </si>
  <si>
    <t>The submitting Buyer/Supplier receives an in-app notification requesting document resubmission</t>
  </si>
  <si>
    <t>TC_IAN_008</t>
  </si>
  <si>
    <t>Verify requesting resubmission twice in a row for the same application does not raise duplicate notifications unnecessarily</t>
  </si>
  <si>
    <t>1. Request KYC resubmission for an application
2. Without any change from the user, request resubmission again</t>
  </si>
  <si>
    <t>Repeated resubmission request</t>
  </si>
  <si>
    <t>System behaviour for duplicate resubmission requests is handled sensibly (either no duplicate notification, or a clearly distinct new one) rather than silently stacking identical alerts</t>
  </si>
  <si>
    <t>Exact de-duplication behaviour not specified by Dev - confirm expected handling before executing</t>
  </si>
  <si>
    <t>TC_IAN_009</t>
  </si>
  <si>
    <t>Verify an in-app notification is raised to the submitting Buyer/Supplier when Back Office places the KYC on hold</t>
  </si>
  <si>
    <t>1. As Back Office, place a pending KYC application on hold</t>
  </si>
  <si>
    <t>The submitting Buyer/Supplier receives an in-app notification indicating the KYC is on hold</t>
  </si>
  <si>
    <t>TC_IAN_010</t>
  </si>
  <si>
    <t>Verify a non-Back-Office role cannot place a KYC on hold, and no notification is raised</t>
  </si>
  <si>
    <t>1. Attempt to place a KYC application on hold using a role without Back Office permissions</t>
  </si>
  <si>
    <t>Non-Back-Office role</t>
  </si>
  <si>
    <t>Action is blocked by permission checks; no status change occurs and no in-app notification is raised</t>
  </si>
  <si>
    <t>TC_IAN_011</t>
  </si>
  <si>
    <t>Verify using the quick status endpoint to set status to Rejected raises the same notification as the standard KYC Rejected flow</t>
  </si>
  <si>
    <t>1. Use the quick status endpoint to directly set a KYC record's status to Rejected</t>
  </si>
  <si>
    <t>Quick endpoint, target status: Rejected</t>
  </si>
  <si>
    <t>The submitting Buyer/Supplier receives the same in-app notification as when rejected via the standard flow (TC_IAN_005)</t>
  </si>
  <si>
    <t>Confirm with Dev whether the quick endpoint raises an identical notification or a distinct one - see FSD Section 6</t>
  </si>
  <si>
    <t>TC_IAN_012</t>
  </si>
  <si>
    <t>Verify using the quick status endpoint to set status to Resubmission raises the same notification as the standard resubmission flow</t>
  </si>
  <si>
    <t>1. Use the quick status endpoint to directly set a KYC record's status to Resubmission</t>
  </si>
  <si>
    <t>Quick endpoint, target status: Resubmission</t>
  </si>
  <si>
    <t>The submitting Buyer/Supplier receives the same in-app notification as when resubmission is requested via the standard flow (TC_IAN_007)</t>
  </si>
  <si>
    <t>TC_IAN_013</t>
  </si>
  <si>
    <t>Verify an unauthorised role cannot use the quick status endpoint, and no notification is raised</t>
  </si>
  <si>
    <t>1. Attempt to call the quick status endpoint using a role without the required permission</t>
  </si>
  <si>
    <t>Unauthorised role</t>
  </si>
  <si>
    <t>The endpoint call is rejected/blocked; no status change occurs and no in-app notification is raised</t>
  </si>
  <si>
    <t>TC_IAN_014</t>
  </si>
  <si>
    <t>Verify the quick status endpoint rejects an unsupported target status (anything other than Rejected/Resubmission)</t>
  </si>
  <si>
    <t>1. Attempt to call the quick status endpoint with a target status outside Rejected/Resubmission (e.g. Approved)</t>
  </si>
  <si>
    <t>Unsupported target status</t>
  </si>
  <si>
    <t>The endpoint call is rejected with a validation error; no status change occurs and no notification is raised</t>
  </si>
  <si>
    <t>TC_IAN_015</t>
  </si>
  <si>
    <t>InApp Notif - PSP/Bank Details</t>
  </si>
  <si>
    <t>Verify the Supplier receives an in-app notification when Admin approves their bank/PSP details</t>
  </si>
  <si>
    <t>1. As Admin, approve a supplier's pending bank/PSP details</t>
  </si>
  <si>
    <t>Pending PSP/bank details</t>
  </si>
  <si>
    <t>The Supplier receives an in-app notification confirming approval</t>
  </si>
  <si>
    <t>TC_IAN_016</t>
  </si>
  <si>
    <t>Verify the Supplier receives an in-app notification when Admin rejects their bank/PSP details</t>
  </si>
  <si>
    <t>1. As Admin, reject a supplier's pending bank/PSP details</t>
  </si>
  <si>
    <t>The Supplier receives an in-app notification indicating rejection</t>
  </si>
  <si>
    <t>TC_IAN_017</t>
  </si>
  <si>
    <t>Verify a PSP/Bank Details Rejected notification is NOT visible to the Buyer side of any relationship</t>
  </si>
  <si>
    <t>1. Reject a Supplier's PSP/bank details
2. Log in as a Buyer linked to that Supplier and check their notification centre</t>
  </si>
  <si>
    <t>Buyer account linked to the Supplier</t>
  </si>
  <si>
    <t>The Buyer does not see the Supplier's PSP/Bank Details Rejected notification</t>
  </si>
  <si>
    <t>TC_IAN_018</t>
  </si>
  <si>
    <t>Verify no PSP approval/rejection notification is raised if the admin action itself fails (e.g. system error)</t>
  </si>
  <si>
    <t>1. Simulate a failure while attempting to approve/reject PSP/bank details (e.g. forced error)</t>
  </si>
  <si>
    <t>Simulated approval/rejection failure</t>
  </si>
  <si>
    <t>No status change occurs and no in-app notification is raised for the failed action</t>
  </si>
  <si>
    <t>TC_IAN_019</t>
  </si>
  <si>
    <t>InApp Notif - Invoice Lifecycle</t>
  </si>
  <si>
    <t>Verify the Supplier and Buyer receive appropriate in-app notifications when the Supplier successfully raises a new invoice</t>
  </si>
  <si>
    <t>1. As Supplier, create and successfully submit one or more new invoices</t>
  </si>
  <si>
    <t>Valid invoice data</t>
  </si>
  <si>
    <t>Supplier receives a confirmation notification; Buyer receives a notification that a new invoice is awaiting action</t>
  </si>
  <si>
    <t>TC_IAN_020</t>
  </si>
  <si>
    <t>Verify no new-invoice notification is raised if invoice creation fails validation</t>
  </si>
  <si>
    <t>1. Attempt to create an invoice with missing/invalid mandatory fields</t>
  </si>
  <si>
    <t>Invoice creation is blocked by validation; no in-app notification is raised</t>
  </si>
  <si>
    <t>TC_IAN_021</t>
  </si>
  <si>
    <t>Verify the Buyer receives an in-app notification once the invoice PDF is generated</t>
  </si>
  <si>
    <t>1. Raise an invoice and allow the invoice PDF generation to complete</t>
  </si>
  <si>
    <t>Successfully raised invoice</t>
  </si>
  <si>
    <t>The Buyer receives an in-app 'Invoice Received' notification once the PDF is ready</t>
  </si>
  <si>
    <t>TC_IAN_022</t>
  </si>
  <si>
    <t>Verify the Buyer does NOT receive the 'Invoice Received' notification before PDF generation completes</t>
  </si>
  <si>
    <t>1. Raise an invoice
2. Check the Buyer's notification centre before PDF generation has finished</t>
  </si>
  <si>
    <t>In-progress PDF generation</t>
  </si>
  <si>
    <t>No 'Invoice Received' notification appears until PDF generation has actually completed</t>
  </si>
  <si>
    <t>TC_IAN_023</t>
  </si>
  <si>
    <t>Verify the Buyer receives an in-app notification when a manual invoice reminder/resend is triggered</t>
  </si>
  <si>
    <t>1. Manually trigger a reminder/resend for one or more outstanding invoices</t>
  </si>
  <si>
    <t>Outstanding invoice(s)</t>
  </si>
  <si>
    <t>The Buyer receives an in-app reminder notification for each targeted invoice</t>
  </si>
  <si>
    <t>TC_IAN_024</t>
  </si>
  <si>
    <t>Verify a reminder notification is NOT sent for an invoice that has already been fully paid/settled</t>
  </si>
  <si>
    <t>1. Attempt to trigger a manual reminder for an already fully paid/settled invoice</t>
  </si>
  <si>
    <t>Fully paid/settled invoice</t>
  </si>
  <si>
    <t>The reminder action is blocked or produces no notification, since the invoice no longer requires payment action</t>
  </si>
  <si>
    <t>TC_IAN_025</t>
  </si>
  <si>
    <t>Verify the Buyer receives an in-app notification when the Supplier withdraws a pending invoice</t>
  </si>
  <si>
    <t>1. As Supplier, withdraw a pending (not yet paid) invoice</t>
  </si>
  <si>
    <t>Pending invoice</t>
  </si>
  <si>
    <t>The Buyer receives an in-app notification that the invoice has been withdrawn and is no longer actionable</t>
  </si>
  <si>
    <t>TC_IAN_026</t>
  </si>
  <si>
    <t>Verify an already-paid/settled invoice cannot be withdrawn, and no withdrawal notification is raised</t>
  </si>
  <si>
    <t>1. Attempt to withdraw an invoice that has already been paid/settled</t>
  </si>
  <si>
    <t>Paid/settled invoice</t>
  </si>
  <si>
    <t>The withdrawal action is blocked with an appropriate error; no in-app notification is raised</t>
  </si>
  <si>
    <t>TC_IAN_027</t>
  </si>
  <si>
    <t>Verify the Supplier receives an in-app notification when the Buyer requests invoice rejection</t>
  </si>
  <si>
    <t>1. As Buyer, submit a rejection request against a received invoice</t>
  </si>
  <si>
    <t>Received invoice</t>
  </si>
  <si>
    <t>The Supplier receives an in-app notification that rejection has been requested, prompting a response</t>
  </si>
  <si>
    <t>TC_IAN_028</t>
  </si>
  <si>
    <t>Verify a Buyer cannot request rejection on an invoice that does not belong to them, and no notification is raised</t>
  </si>
  <si>
    <t>1. As Buyer A, attempt to submit a rejection request against an invoice addressed to Buyer B</t>
  </si>
  <si>
    <t>Invoice belonging to a different Buyer</t>
  </si>
  <si>
    <t>The action is blocked by an authorisation check; no in-app notification is raised</t>
  </si>
  <si>
    <t>TC_IAN_029</t>
  </si>
  <si>
    <t>Verify the Buyer (and/or Back Office) receives an in-app notification when the Supplier disputes a rejection request</t>
  </si>
  <si>
    <t>1. As Supplier, submit a dispute against an existing invoice rejection request</t>
  </si>
  <si>
    <t>Existing invoice rejection request</t>
  </si>
  <si>
    <t>The Buyer (and Back Office, if mediation applies) receives an in-app notification of the dispute</t>
  </si>
  <si>
    <t>TC_IAN_030</t>
  </si>
  <si>
    <t>Verify a dispute cannot be raised, and no notification is sent, once the rejection has already been finalised</t>
  </si>
  <si>
    <t>1. Attempt to dispute an invoice rejection that has already reached Final Rejection status</t>
  </si>
  <si>
    <t>Already finalised rejection</t>
  </si>
  <si>
    <t>The dispute action is blocked with an appropriate error; no in-app notification is raised</t>
  </si>
  <si>
    <t>TC_IAN_031</t>
  </si>
  <si>
    <t>Verify the Supplier and Buyer receive in-app notifications when an invoice rejection is finalised</t>
  </si>
  <si>
    <t>1. Progress an invoice rejection through to Final Rejection status</t>
  </si>
  <si>
    <t>Invoice rejection reaching final state</t>
  </si>
  <si>
    <t>Both the Supplier and Buyer receive an in-app notification confirming the final rejection outcome</t>
  </si>
  <si>
    <t>TC_IAN_032</t>
  </si>
  <si>
    <t>Verify a Final Rejection notification is not raised again if the same invoice is reinstated and re-rejected using stale data</t>
  </si>
  <si>
    <t>1. Finalise a rejection
2. Reinstate the invoice
3. Attempt to trigger Final Rejection again using the original (stale) rejection request</t>
  </si>
  <si>
    <t>Stale/expired rejection request after reinstatement</t>
  </si>
  <si>
    <t>The system does not incorrectly re-fire a Final Rejection notification based on a stale, already-superseded request</t>
  </si>
  <si>
    <t>TC_IAN_033</t>
  </si>
  <si>
    <t>Verify the Buyer and Supplier receive in-app notifications when a withdrawn or rejected invoice is reinstated</t>
  </si>
  <si>
    <t>1. Reinstate a previously withdrawn or rejected invoice</t>
  </si>
  <si>
    <t>Withdrawn/rejected invoice</t>
  </si>
  <si>
    <t>The Buyer receives a notification that the invoice is actionable again; the Supplier receives a confirmation notification</t>
  </si>
  <si>
    <t>TC_IAN_034</t>
  </si>
  <si>
    <t>Verify an invoice that was never withdrawn or rejected cannot be 'reinstated', and no notification is raised</t>
  </si>
  <si>
    <t>1. Attempt to trigger the Reinstate action on an invoice that is currently active/pending (never withdrawn or rejected)</t>
  </si>
  <si>
    <t>Active/pending invoice</t>
  </si>
  <si>
    <t>The reinstate action is blocked or unavailable; no in-app notification is raised</t>
  </si>
  <si>
    <t>TC_IAN_035</t>
  </si>
  <si>
    <t>Verify the Supplier and Buyer receive in-app notifications when Back Office records an offline payment for an invoice</t>
  </si>
  <si>
    <t>1. As Back Office, record an offline payment against an outstanding invoice</t>
  </si>
  <si>
    <t>Outstanding invoice + offline payment details</t>
  </si>
  <si>
    <t>Both the Supplier and Buyer receive an in-app notification confirming the invoice was settled offline</t>
  </si>
  <si>
    <t>TC_IAN_036</t>
  </si>
  <si>
    <t>Verify no offline-settlement notification is raised if the offline payment entry fails validation</t>
  </si>
  <si>
    <t>1. Attempt to record an offline payment with invalid/missing required details (e.g. missing amount or reference)</t>
  </si>
  <si>
    <t>Invalid offline payment entry</t>
  </si>
  <si>
    <t>The entry is blocked by validation; no in-app notification is raised</t>
  </si>
  <si>
    <t>TC_IAN_037</t>
  </si>
  <si>
    <t>Verify the Supplier and Buyer receive in-app notifications when a payment succeeds via Geidea, bulk payment, or checkout</t>
  </si>
  <si>
    <t>1. Complete a successful invoice payment via each channel: Geidea hosted payment, bulk payment upload, and checkout</t>
  </si>
  <si>
    <t>Successful payment via each channel</t>
  </si>
  <si>
    <t>For each channel, the Supplier receives a 'payment received' notification and the Buyer receives a payment confirmation notification</t>
  </si>
  <si>
    <t>TC_IAN_038</t>
  </si>
  <si>
    <t>Verify no 'Invoice Paid Successfully' notification is raised for a failed or declined payment attempt</t>
  </si>
  <si>
    <t>1. Attempt a payment that is declined or fails (e.g. invalid card, insufficient funds)</t>
  </si>
  <si>
    <t>No 'Invoice Paid Successfully' notification is raised; instead the Invoice Payment Failed notification (Section below) is expected</t>
  </si>
  <si>
    <t>TC_IAN_039</t>
  </si>
  <si>
    <t>Verify the Buyer receives an in-app notification when a payment attempt fails or is declined</t>
  </si>
  <si>
    <t>1. Attempt an invoice payment that fails or is declined</t>
  </si>
  <si>
    <t>Failed/declined payment</t>
  </si>
  <si>
    <t>The Buyer receives an in-app notification prompting them to retry; the Supplier notification reflects visibility of the failure</t>
  </si>
  <si>
    <t>TC_IAN_040</t>
  </si>
  <si>
    <t>Verify a successful payment retry after an initial failure raises 'Invoice Paid Successfully' and not a duplicate failure notification</t>
  </si>
  <si>
    <t>1. Trigger a failed payment attempt on an invoice
2. Retry the payment and complete it successfully</t>
  </si>
  <si>
    <t>Failed attempt followed by successful retry</t>
  </si>
  <si>
    <t>The failed attempt raises only the Payment Failed notification; the successful retry raises only the Paid Successfully notification, with no duplicate/conflicting alerts</t>
  </si>
  <si>
    <t>TC_IAN_041</t>
  </si>
  <si>
    <t>InApp Notif - Compliance &amp; Admin</t>
  </si>
  <si>
    <t>Verify a document expiry reminder notification is raised at each configured threshold (3/7/10/15/20/30 days)</t>
  </si>
  <si>
    <t>1. Allow a KYC/compliance document to reach each configured reminder threshold in turn (3, 7, 10, 15, 20, and 30 days before expiry)</t>
  </si>
  <si>
    <t>Document at each threshold: 3, 7, 10, 15, 20, 30 days</t>
  </si>
  <si>
    <t>An in-app notification is raised to the registered user and all active administrators at each of the six configured thresholds</t>
  </si>
  <si>
    <t>TC_IAN_042</t>
  </si>
  <si>
    <t>Verify no further expiry reminder is raised for a document that was renewed/replaced before its next threshold</t>
  </si>
  <si>
    <t>1. Renew/replace a document after an earlier reminder has fired, before the next threshold is reached
2. Allow time to pass to when the next reminder would have fired</t>
  </si>
  <si>
    <t>No further reminder notification is raised for the old (now superseded) document at the next threshold</t>
  </si>
  <si>
    <t>TC_IAN_043</t>
  </si>
  <si>
    <t>Verify a deactivated administrator does NOT receive the document expiry reminder notification</t>
  </si>
  <si>
    <t>1. Deactivate an administrator account
2. Allow a document expiry reminder threshold to be reached</t>
  </si>
  <si>
    <t>The deactivated administrator does not receive the notification; only active administrators and the registered user do</t>
  </si>
  <si>
    <t>TC_IAN_044</t>
  </si>
  <si>
    <t>Verify the Buyer and Supplier both receive an in-app notification when a new buyer-supplier client relationship is created</t>
  </si>
  <si>
    <t>Both the Buyer business and Supplier business receive an in-app notification confirming the new relationship</t>
  </si>
  <si>
    <t>TC_IAN_045</t>
  </si>
  <si>
    <t>Verify no 'New Client Added' notification is raised if the relationship creation fails (e.g. duplicate mapping)</t>
  </si>
  <si>
    <t>Creation is blocked with a validation error; no in-app notification is raised</t>
  </si>
  <si>
    <t>TC_IAN_046</t>
  </si>
  <si>
    <t>Verify the registered user and all active administrators receive an in-app notification when the Relationship Manager is reassigned</t>
  </si>
  <si>
    <t>1. As Admin, reassign the Relationship Manager for a Buyer or Supplier account</t>
  </si>
  <si>
    <t>The registered user and all active administrators receive an in-app notification of the RM change</t>
  </si>
  <si>
    <t>TC_IAN_047</t>
  </si>
  <si>
    <t>Verify a deactivated administrator does NOT receive the RM Reassignment notification</t>
  </si>
  <si>
    <t>1. Deactivate an administrator account
2. Reassign an RM</t>
  </si>
  <si>
    <t>The deactivated administrator does not receive the notification; only active administrators do</t>
  </si>
  <si>
    <t>TC_IAN_048</t>
  </si>
  <si>
    <t>Verify no RM Reassignment notification is raised if the reassignment request fails validation</t>
  </si>
  <si>
    <t>The reassignment is blocked by validation; no in-app notification is raised</t>
  </si>
  <si>
    <t>TC_IAN_049</t>
  </si>
  <si>
    <t>Verify the ticket raiser receives an in-app notification when Admin updates the support ticket status</t>
  </si>
  <si>
    <t>1. As Admin, update the status of a support ticket (e.g. Open to In Progress, or In Progress to Closed)</t>
  </si>
  <si>
    <t>Existing support ticket</t>
  </si>
  <si>
    <t>The Buyer/Supplier who raised the ticket receives an in-app notification of the status change</t>
  </si>
  <si>
    <t>TC_IAN_050</t>
  </si>
  <si>
    <t>Verify no ticket-status-update notification is raised if the ticket is saved without an actual status change</t>
  </si>
  <si>
    <t>1. Open a support ticket
2. Save it again without changing its status</t>
  </si>
  <si>
    <t>No in-app notification is raised, since the status did not change</t>
  </si>
  <si>
    <t>TC_IAN_051</t>
  </si>
  <si>
    <t>Verify the registered user and all active administrators receive an in-app notification when a scheduled report run completes</t>
  </si>
  <si>
    <t>An in-app notification is raised to the registered user and all active administrators</t>
  </si>
  <si>
    <t>Confirm with Dev whether this trigger raises an in-app notification at all, since it is described as being 'emailed' - see FSD Section 6</t>
  </si>
  <si>
    <t>TC_IAN_052</t>
  </si>
  <si>
    <t>Verify no 'report ready' in-app notification is raised if the scheduled report run fails</t>
  </si>
  <si>
    <t>No 'report ready' notification is raised for the failed run</t>
  </si>
  <si>
    <t>TC_IAN_053</t>
  </si>
  <si>
    <t>InApp Notif - General Behaviour</t>
  </si>
  <si>
    <t>Verify the notification bell icon displays an unread-count badge that increments as new notifications arrive</t>
  </si>
  <si>
    <t>1. Note the current bell icon badge count
2. Trigger any one of the 24 notification events
3. Observe the bell icon</t>
  </si>
  <si>
    <t>The badge count increments by 1 to reflect the new unread notification</t>
  </si>
  <si>
    <t>TC_IAN_054</t>
  </si>
  <si>
    <t>Verify clicking the bell icon opens a notification centre listing notifications in reverse-chronological order</t>
  </si>
  <si>
    <t>1. Trigger several different notifications at different times
2. Click the bell icon</t>
  </si>
  <si>
    <t>A notification panel opens listing all notifications with the most recent one at the top</t>
  </si>
  <si>
    <t>TC_IAN_055</t>
  </si>
  <si>
    <t>Verify clicking an individual notification marks it as read and decrements the unread badge count</t>
  </si>
  <si>
    <t>1. Open the notification centre with at least one unread notification
2. Click that notification</t>
  </si>
  <si>
    <t>The notification is marked as read (visually distinguished from unread items) and the badge count decreases by 1</t>
  </si>
  <si>
    <t>TC_IAN_056</t>
  </si>
  <si>
    <t>Verify clicking a notification deep-links the user to its relevant record</t>
  </si>
  <si>
    <t>1. Trigger a notification tied to a specific record (e.g. an invoice or KYC application)
2. Click that notification in the notification centre</t>
  </si>
  <si>
    <t>The user is navigated directly to the specific invoice/KYC/ticket record referenced by the notification</t>
  </si>
  <si>
    <t>TC_IAN_057</t>
  </si>
  <si>
    <t>Verify a 'mark all as read' action (if available) clears the unread badge count for all listed notifications</t>
  </si>
  <si>
    <t>1. Accumulate multiple unread notifications
2. Use the 'mark all as read' action, if available</t>
  </si>
  <si>
    <t>All notifications are marked as read and the badge count resets to zero</t>
  </si>
  <si>
    <t>Existence of a 'mark all as read' action was not confirmed by Dev - verify against actual UI before executing</t>
  </si>
  <si>
    <t>TC_IAN_058</t>
  </si>
  <si>
    <t>Verify read notifications remain visible in the notification centre for the expected retention period</t>
  </si>
  <si>
    <t>1. Mark a notification as read
2. Revisit the notification centre after some time</t>
  </si>
  <si>
    <t>The read notification remains visible in the list until the configured retention period elapses</t>
  </si>
  <si>
    <t>Exact retention/expiry policy not specified by Dev - confirm before executing</t>
  </si>
  <si>
    <t>TC_IAN_059</t>
  </si>
  <si>
    <t>Verify new notifications appear in near-real-time without requiring a full page refresh</t>
  </si>
  <si>
    <t>1. Keep the application open in the foreground
2. From another session, trigger a notification event for the logged-in user</t>
  </si>
  <si>
    <t>The new notification appears in the notification centre/badge without the user needing to manually refresh the page</t>
  </si>
  <si>
    <t>Exact delivery mechanism (WebSocket/push vs polling) not specified by Dev - confirm before executing</t>
  </si>
  <si>
    <t>TC_IAN_060</t>
  </si>
  <si>
    <t>Verify a Buyer-side user can never see a Supplier-only notification, and vice versa</t>
  </si>
  <si>
    <t>1. Trigger a Supplier-only notification (e.g. PSP/Bank Details Rejected)
2. Log in as a Buyer user linked to that Supplier
3. Check the Buyer's notification centre</t>
  </si>
  <si>
    <t>The Buyer's notification centre does not display the Supplier-only notification; role-based segregation is maintained</t>
  </si>
  <si>
    <t>TC_IAN_061</t>
  </si>
  <si>
    <t>Verify a user from one entity/tenant cannot see notifications belonging to a different, unrelated entity/tenant</t>
  </si>
  <si>
    <t>1. Trigger any notification for Entity A
2. Log in as a user belonging to unrelated Entity B
3. Check Entity B's notification centre</t>
  </si>
  <si>
    <t>Entity B's notification centre does not display any notification belonging to Entity A</t>
  </si>
  <si>
    <t>TC_IAN_062</t>
  </si>
  <si>
    <t>Verify no notification content displays 'undefined', 'NaN', or 'null' anywhere in the notification centre</t>
  </si>
  <si>
    <t>1. Trigger a representative sample across all 24 notification types
2. Review the text of each in the notification centre</t>
  </si>
  <si>
    <t>No notification entry displays the literal text 'undefined', 'NaN', or 'null'</t>
  </si>
  <si>
    <t>TC_IAN_063</t>
  </si>
  <si>
    <t>Verify all active administrators receive the same administrative notifications (RM Reassignment, Document Expiry, Scheduled Report) consistently</t>
  </si>
  <si>
    <t>1. Ensure at least two active administrator accounts exist
2. Trigger an RM Reassignment, a Document Expiry reminder, and a Scheduled Report delivery
3. Check both administrators' notification centres</t>
  </si>
  <si>
    <t>Two or more active administrators</t>
  </si>
  <si>
    <t>Both active administrators receive each of the three notification types consistently</t>
  </si>
  <si>
    <t>TC_IAN_064</t>
  </si>
  <si>
    <t>Verify administrator-scoped notifications respect entity/region scoping if configured, rather than always broadcasting platform-wide</t>
  </si>
  <si>
    <t>1. Trigger an administrative notification (e.g. RM Reassignment) for an entity in Region A
2. Check the notification centre of an administrator scoped only to Region B</t>
  </si>
  <si>
    <t>Administrator scoped to a different region</t>
  </si>
  <si>
    <t>If entity/region scoping is enabled, the Region B administrator does not receive the Region A notification</t>
  </si>
  <si>
    <t>Whether 'all active administrators' means platform-wide or entity/region-scoped was not confirmed by Dev - see FSD Section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</si>
</sst>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charset val="1"/>
    </font>
    <font>
      <b/>
      <sz val="18"/>
      <color rgb="FFFFFFFF"/>
      <name val="Arial"/>
      <charset val="1"/>
    </font>
    <font>
      <i/>
      <sz val="11"/>
      <color rgb="FFD9D9D9"/>
      <name val="Arial"/>
      <charset val="1"/>
    </font>
    <font>
      <b/>
      <sz val="10"/>
      <color rgb="FFFFFFFF"/>
      <name val="Arial"/>
      <charset val="1"/>
    </font>
    <font>
      <b/>
      <sz val="22"/>
      <color rgb="FFFFFFFF"/>
      <name val="Arial"/>
      <charset val="1"/>
    </font>
    <font>
      <sz val="9"/>
      <color rgb="FFFFFFFF"/>
      <name val="Arial"/>
      <charset val="1"/>
    </font>
    <font>
      <b/>
      <sz val="13"/>
      <color rgb="FFFFFFFF"/>
      <name val="Arial"/>
      <charset val="1"/>
    </font>
    <font>
      <b/>
      <sz val="9"/>
      <color rgb="FFFFFFFF"/>
      <name val="Arial"/>
      <charset val="1"/>
    </font>
    <font>
      <b/>
      <sz val="16"/>
      <color rgb="FF1F3864"/>
      <name val="Arial"/>
      <charset val="1"/>
    </font>
    <font>
      <sz val="10"/>
      <name val="Arial"/>
      <charset val="1"/>
    </font>
    <font>
      <b/>
      <sz val="10"/>
      <name val="Arial"/>
      <charset val="1"/>
    </font>
    <font>
      <i/>
      <sz val="9"/>
      <color rgb="FF808080"/>
      <name val="Arial"/>
      <charset val="1"/>
    </font>
    <font>
      <i/>
      <sz val="8"/>
      <color rgb="FFA6A6A6"/>
      <name val="Arial"/>
      <charset val="1"/>
    </font>
    <font>
      <b/>
      <sz val="11"/>
      <color rgb="FFFFFFFF"/>
      <name val="Arial"/>
      <charset val="1"/>
    </font>
    <font>
      <sz val="10"/>
      <color rgb="FF595959"/>
      <name val="Arial"/>
      <charset val="1"/>
    </font>
    <font>
      <sz val="10"/>
      <color rgb="FF000000"/>
      <name val="Arial"/>
      <charset val="1"/>
    </font>
    <font>
      <b/>
      <sz val="10"/>
      <color rgb="FF000000"/>
      <name val="Arial"/>
      <charset val="1"/>
    </font>
  </fonts>
  <fills count="19">
    <fill>
      <patternFill patternType="none"/>
    </fill>
    <fill>
      <patternFill patternType="gray125"/>
    </fill>
    <fill>
      <patternFill patternType="solid">
        <fgColor rgb="FF1F3864"/>
        <bgColor rgb="FF2E5395"/>
      </patternFill>
    </fill>
    <fill>
      <patternFill patternType="solid">
        <fgColor rgb="FF375623"/>
        <bgColor rgb="FF595959"/>
      </patternFill>
    </fill>
    <fill>
      <patternFill patternType="solid">
        <fgColor rgb="FF9C0006"/>
        <bgColor rgb="FF800000"/>
      </patternFill>
    </fill>
    <fill>
      <patternFill patternType="solid">
        <fgColor rgb="FFBF8F00"/>
        <bgColor rgb="FFED7D31"/>
      </patternFill>
    </fill>
    <fill>
      <patternFill patternType="solid">
        <fgColor rgb="FF2E7D32"/>
        <bgColor rgb="FF008000"/>
      </patternFill>
    </fill>
    <fill>
      <patternFill patternType="solid">
        <fgColor rgb="FFC62828"/>
        <bgColor rgb="FF993366"/>
      </patternFill>
    </fill>
    <fill>
      <patternFill patternType="solid">
        <fgColor rgb="FF595959"/>
        <bgColor rgb="FF375623"/>
      </patternFill>
    </fill>
    <fill>
      <patternFill patternType="solid">
        <fgColor rgb="FF2E5395"/>
        <bgColor rgb="FF1F3864"/>
      </patternFill>
    </fill>
    <fill>
      <patternFill patternType="solid">
        <fgColor rgb="FF4472C4"/>
        <bgColor rgb="FF2E5395"/>
      </patternFill>
    </fill>
    <fill>
      <patternFill patternType="solid">
        <fgColor rgb="FFDDEBF7"/>
        <bgColor rgb="FFE2EFDA"/>
      </patternFill>
    </fill>
    <fill>
      <patternFill patternType="solid">
        <fgColor rgb="FFE2EFDA"/>
        <bgColor rgb="FFDDEBF7"/>
      </patternFill>
    </fill>
    <fill>
      <patternFill patternType="solid">
        <fgColor rgb="FFA9D08E"/>
        <bgColor rgb="FFBFBFBF"/>
      </patternFill>
    </fill>
    <fill>
      <patternFill patternType="solid">
        <fgColor rgb="FFD9D9D9"/>
        <bgColor rgb="FFDDEBF7"/>
      </patternFill>
    </fill>
    <fill>
      <patternFill patternType="solid">
        <fgColor rgb="FFFCE4E4"/>
        <bgColor rgb="FFFFF2CC"/>
      </patternFill>
    </fill>
    <fill>
      <patternFill patternType="solid">
        <fgColor rgb="FFF1948A"/>
        <bgColor rgb="FFFF99CC"/>
      </patternFill>
    </fill>
    <fill>
      <patternFill patternType="solid">
        <fgColor rgb="FFFFF2CC"/>
        <bgColor rgb="FFFCE4E4"/>
      </patternFill>
    </fill>
    <fill>
      <patternFill patternType="solid">
        <fgColor rgb="FFFFD966"/>
        <bgColor rgb="FF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3">
    <xf numFmtId="0" fontId="0" fillId="0" borderId="0" xfId="0"/>
    <xf numFmtId="0" fontId="3" fillId="2" borderId="1" xfId="0" applyFont="1" applyFill="1" applyBorder="1" applyAlignment="1">
      <alignment horizontal="center" vertical="center"/>
    </xf>
    <xf numFmtId="0" fontId="0" fillId="2" borderId="0" xfId="0" applyFill="1"/>
    <xf numFmtId="0" fontId="9" fillId="0" borderId="1" xfId="0" applyFont="1" applyBorder="1" applyAlignment="1">
      <alignment horizontal="left" vertical="center"/>
    </xf>
    <xf numFmtId="0" fontId="9" fillId="0" borderId="1" xfId="0" applyFont="1" applyBorder="1" applyAlignment="1">
      <alignment horizontal="center" vertical="center"/>
    </xf>
    <xf numFmtId="164" fontId="9" fillId="0" borderId="1" xfId="0" applyNumberFormat="1" applyFont="1" applyBorder="1" applyAlignment="1">
      <alignment horizontal="center" vertical="center"/>
    </xf>
    <xf numFmtId="0" fontId="3" fillId="2" borderId="1" xfId="0" applyFont="1" applyFill="1" applyBorder="1" applyAlignment="1">
      <alignment horizontal="center" vertical="center" wrapText="1"/>
    </xf>
    <xf numFmtId="0" fontId="10" fillId="11" borderId="1" xfId="0" applyFont="1" applyFill="1" applyBorder="1" applyAlignment="1">
      <alignment horizontal="left" vertical="center"/>
    </xf>
    <xf numFmtId="0" fontId="10" fillId="11" borderId="1" xfId="0" applyFont="1" applyFill="1" applyBorder="1" applyAlignment="1">
      <alignment horizontal="center" vertical="center"/>
    </xf>
    <xf numFmtId="164" fontId="10" fillId="11" borderId="1" xfId="0" applyNumberFormat="1" applyFont="1" applyFill="1" applyBorder="1" applyAlignment="1">
      <alignment horizontal="center" vertical="center"/>
    </xf>
    <xf numFmtId="0" fontId="12" fillId="0" borderId="0" xfId="0" applyFont="1"/>
    <xf numFmtId="0" fontId="9" fillId="0" borderId="0" xfId="0" applyFont="1"/>
    <xf numFmtId="0" fontId="13" fillId="2" borderId="1" xfId="0" applyFont="1" applyFill="1" applyBorder="1" applyAlignment="1">
      <alignment horizontal="center" vertical="center" wrapText="1"/>
    </xf>
    <xf numFmtId="0" fontId="9" fillId="12" borderId="1" xfId="0" applyFont="1" applyFill="1" applyBorder="1" applyAlignment="1">
      <alignment horizontal="center" vertical="top" wrapText="1"/>
    </xf>
    <xf numFmtId="0" fontId="9" fillId="12" borderId="1" xfId="0" applyFont="1" applyFill="1" applyBorder="1" applyAlignment="1">
      <alignment horizontal="left" vertical="top" wrapText="1"/>
    </xf>
    <xf numFmtId="0" fontId="10" fillId="13" borderId="1" xfId="0" applyFont="1" applyFill="1" applyBorder="1" applyAlignment="1">
      <alignment horizontal="left" vertical="top" wrapText="1"/>
    </xf>
    <xf numFmtId="0" fontId="14" fillId="14" borderId="1" xfId="0" applyFont="1" applyFill="1" applyBorder="1" applyAlignment="1">
      <alignment horizontal="center" vertical="top" wrapText="1"/>
    </xf>
    <xf numFmtId="0" fontId="9" fillId="15" borderId="1" xfId="0" applyFont="1" applyFill="1" applyBorder="1" applyAlignment="1">
      <alignment horizontal="center" vertical="top" wrapText="1"/>
    </xf>
    <xf numFmtId="0" fontId="9" fillId="15" borderId="1" xfId="0" applyFont="1" applyFill="1" applyBorder="1" applyAlignment="1">
      <alignment horizontal="left" vertical="top" wrapText="1"/>
    </xf>
    <xf numFmtId="0" fontId="10" fillId="16" borderId="1" xfId="0" applyFont="1" applyFill="1" applyBorder="1" applyAlignment="1">
      <alignment horizontal="left" vertical="top" wrapText="1"/>
    </xf>
    <xf numFmtId="0" fontId="0" fillId="12" borderId="0" xfId="0" applyFill="1" applyAlignment="1">
      <alignment vertical="top"/>
    </xf>
    <xf numFmtId="0" fontId="0" fillId="15" borderId="0" xfId="0" applyFill="1" applyAlignment="1">
      <alignment vertical="top"/>
    </xf>
    <xf numFmtId="0" fontId="13" fillId="2" borderId="1" xfId="0" applyFont="1" applyFill="1" applyBorder="1" applyAlignment="1">
      <alignment horizontal="left" vertical="center"/>
    </xf>
    <xf numFmtId="0" fontId="13" fillId="2" borderId="0" xfId="0" applyFont="1" applyFill="1" applyAlignment="1">
      <alignment horizontal="left" vertical="center"/>
    </xf>
    <xf numFmtId="0" fontId="9" fillId="17" borderId="1" xfId="0" applyFont="1" applyFill="1" applyBorder="1" applyAlignment="1">
      <alignment horizontal="center" vertical="top" wrapText="1"/>
    </xf>
    <xf numFmtId="0" fontId="9" fillId="17" borderId="1" xfId="0" applyFont="1" applyFill="1" applyBorder="1" applyAlignment="1">
      <alignment horizontal="left" vertical="top" wrapText="1"/>
    </xf>
    <xf numFmtId="0" fontId="10" fillId="18" borderId="1" xfId="0" applyFont="1" applyFill="1" applyBorder="1" applyAlignment="1">
      <alignment horizontal="left" vertical="top" wrapText="1"/>
    </xf>
    <xf numFmtId="0" fontId="13" fillId="2" borderId="2"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0" xfId="0" applyFont="1" applyFill="1" applyAlignment="1">
      <alignment vertical="top" wrapText="1"/>
    </xf>
    <xf numFmtId="0" fontId="15" fillId="12" borderId="1" xfId="0" applyFont="1" applyFill="1" applyBorder="1" applyAlignment="1">
      <alignment vertical="top" wrapText="1"/>
    </xf>
    <xf numFmtId="0" fontId="16" fillId="13" borderId="1" xfId="0" applyFont="1" applyFill="1" applyBorder="1" applyAlignment="1">
      <alignment vertical="top" wrapText="1"/>
    </xf>
    <xf numFmtId="0" fontId="14" fillId="14" borderId="1" xfId="0" applyFont="1" applyFill="1" applyBorder="1" applyAlignment="1">
      <alignment vertical="top" wrapText="1"/>
    </xf>
    <xf numFmtId="0" fontId="15" fillId="15" borderId="1" xfId="0" applyFont="1" applyFill="1" applyBorder="1" applyAlignment="1">
      <alignment vertical="top" wrapText="1"/>
    </xf>
    <xf numFmtId="0" fontId="16" fillId="16" borderId="1" xfId="0" applyFont="1" applyFill="1" applyBorder="1" applyAlignment="1">
      <alignment vertical="top" wrapText="1"/>
    </xf>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6" fillId="9" borderId="0" xfId="0" applyFont="1" applyFill="1" applyAlignment="1">
      <alignment horizontal="left" vertical="center" indent="1"/>
    </xf>
    <xf numFmtId="0" fontId="7" fillId="10" borderId="1" xfId="0" applyFont="1" applyFill="1" applyBorder="1" applyAlignment="1">
      <alignment horizontal="center" vertical="center" wrapText="1"/>
    </xf>
    <xf numFmtId="0" fontId="11" fillId="0" borderId="0" xfId="0" applyFont="1" applyAlignment="1">
      <alignment horizontal="left" vertical="top" wrapText="1"/>
    </xf>
    <xf numFmtId="164" fontId="8" fillId="11" borderId="1" xfId="0" applyNumberFormat="1" applyFont="1" applyFill="1" applyBorder="1" applyAlignment="1">
      <alignment horizontal="center" vertical="center"/>
    </xf>
    <xf numFmtId="3" fontId="8" fillId="11"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A6A6A6"/>
      <rgbColor rgb="FF993366"/>
      <rgbColor rgb="FFFFF2CC"/>
      <rgbColor rgb="FFDDEBF7"/>
      <rgbColor rgb="FF660066"/>
      <rgbColor rgb="FFF1948A"/>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CE4E4"/>
      <rgbColor rgb="FFB7B7B7"/>
      <rgbColor rgb="FFFF99CC"/>
      <rgbColor rgb="FFB3B3B3"/>
      <rgbColor rgb="FFFFD966"/>
      <rgbColor rgb="FF4472C4"/>
      <rgbColor rgb="FF33CCCC"/>
      <rgbColor rgb="FFA9D08E"/>
      <rgbColor rgb="FFFFC000"/>
      <rgbColor rgb="FFBF8F00"/>
      <rgbColor rgb="FFED7D31"/>
      <rgbColor rgb="FF595959"/>
      <rgbColor rgb="FFA5A5A5"/>
      <rgbColor rgb="FF1F3864"/>
      <rgbColor rgb="FF2E7D32"/>
      <rgbColor rgb="FF003300"/>
      <rgbColor rgb="FF333300"/>
      <rgbColor rgb="FFC62828"/>
      <rgbColor rgb="FF993366"/>
      <rgbColor rgb="FF2E5395"/>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Test Cases per Module</a:t>
            </a:r>
          </a:p>
        </c:rich>
      </c:tx>
      <c:overlay val="0"/>
      <c:spPr>
        <a:noFill/>
        <a:ln w="0">
          <a:noFill/>
        </a:ln>
      </c:spPr>
    </c:title>
    <c:autoTitleDeleted val="0"/>
    <c:plotArea>
      <c:layout/>
      <c:barChart>
        <c:barDir val="bar"/>
        <c:grouping val="clustered"/>
        <c:varyColors val="0"/>
        <c:ser>
          <c:idx val="0"/>
          <c:order val="0"/>
          <c:tx>
            <c:strRef>
              <c:f>Summary!C36</c:f>
              <c:strCache>
                <c:ptCount val="1"/>
                <c:pt idx="0">
                  <c:v>Total TCs</c:v>
                </c:pt>
              </c:strCache>
            </c:strRef>
          </c:tx>
          <c:spPr>
            <a:solidFill>
              <a:srgbClr val="4472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Summary!$B$37:$B$57</c:f>
              <c:strCache>
                <c:ptCount val="21"/>
                <c:pt idx="0">
                  <c:v>Register</c:v>
                </c:pt>
                <c:pt idx="1">
                  <c:v>Login</c:v>
                </c:pt>
                <c:pt idx="2">
                  <c:v>Forgot Password</c:v>
                </c:pt>
                <c:pt idx="3">
                  <c:v>Supplier Onboarding</c:v>
                </c:pt>
                <c:pt idx="4">
                  <c:v>Buyer Onboarding</c:v>
                </c:pt>
                <c:pt idx="5">
                  <c:v>Supplier Dashboard page</c:v>
                </c:pt>
                <c:pt idx="6">
                  <c:v>Supplier Buyer page</c:v>
                </c:pt>
                <c:pt idx="7">
                  <c:v>Supplier Reports Page</c:v>
                </c:pt>
                <c:pt idx="8">
                  <c:v>Supplier Invoices Page</c:v>
                </c:pt>
                <c:pt idx="9">
                  <c:v>Supplier Admin page</c:v>
                </c:pt>
                <c:pt idx="10">
                  <c:v>Supplier Help and Support Page</c:v>
                </c:pt>
                <c:pt idx="11">
                  <c:v>Supplier Entity</c:v>
                </c:pt>
                <c:pt idx="12">
                  <c:v>Buyer Dashboard</c:v>
                </c:pt>
                <c:pt idx="13">
                  <c:v>Add Supplier Page</c:v>
                </c:pt>
                <c:pt idx="14">
                  <c:v>Buyer Report Page</c:v>
                </c:pt>
                <c:pt idx="15">
                  <c:v>Buyer Help and Support Page</c:v>
                </c:pt>
                <c:pt idx="16">
                  <c:v>Buyer Entity Page</c:v>
                </c:pt>
                <c:pt idx="17">
                  <c:v>Buyer Add Card Page</c:v>
                </c:pt>
                <c:pt idx="18">
                  <c:v>Buyer Payable Page</c:v>
                </c:pt>
                <c:pt idx="19">
                  <c:v>Email Notification</c:v>
                </c:pt>
                <c:pt idx="20">
                  <c:v>In_App Notification</c:v>
                </c:pt>
              </c:strCache>
            </c:strRef>
          </c:cat>
          <c:val>
            <c:numRef>
              <c:f>Summary!$C$37:$C$57</c:f>
              <c:numCache>
                <c:formatCode>General</c:formatCode>
                <c:ptCount val="21"/>
                <c:pt idx="0">
                  <c:v>40</c:v>
                </c:pt>
                <c:pt idx="1">
                  <c:v>33</c:v>
                </c:pt>
                <c:pt idx="2">
                  <c:v>33</c:v>
                </c:pt>
                <c:pt idx="3">
                  <c:v>255</c:v>
                </c:pt>
                <c:pt idx="4">
                  <c:v>222</c:v>
                </c:pt>
                <c:pt idx="5">
                  <c:v>108</c:v>
                </c:pt>
                <c:pt idx="6">
                  <c:v>114</c:v>
                </c:pt>
                <c:pt idx="7">
                  <c:v>74</c:v>
                </c:pt>
                <c:pt idx="8">
                  <c:v>131</c:v>
                </c:pt>
                <c:pt idx="9">
                  <c:v>83</c:v>
                </c:pt>
                <c:pt idx="10">
                  <c:v>54</c:v>
                </c:pt>
                <c:pt idx="11">
                  <c:v>288</c:v>
                </c:pt>
                <c:pt idx="12">
                  <c:v>76</c:v>
                </c:pt>
                <c:pt idx="13">
                  <c:v>42</c:v>
                </c:pt>
                <c:pt idx="14">
                  <c:v>74</c:v>
                </c:pt>
                <c:pt idx="15">
                  <c:v>54</c:v>
                </c:pt>
                <c:pt idx="16">
                  <c:v>254</c:v>
                </c:pt>
                <c:pt idx="17">
                  <c:v>37</c:v>
                </c:pt>
                <c:pt idx="18">
                  <c:v>84</c:v>
                </c:pt>
                <c:pt idx="19">
                  <c:v>81</c:v>
                </c:pt>
                <c:pt idx="20">
                  <c:v>64</c:v>
                </c:pt>
              </c:numCache>
            </c:numRef>
          </c:val>
          <c:extLst>
            <c:ext xmlns:c16="http://schemas.microsoft.com/office/drawing/2014/chart" uri="{C3380CC4-5D6E-409C-BE32-E72D297353CC}">
              <c16:uniqueId val="{00000000-7799-41AF-93C1-E1CF58868E08}"/>
            </c:ext>
          </c:extLst>
        </c:ser>
        <c:dLbls>
          <c:showLegendKey val="0"/>
          <c:showVal val="0"/>
          <c:showCatName val="0"/>
          <c:showSerName val="0"/>
          <c:showPercent val="0"/>
          <c:showBubbleSize val="0"/>
        </c:dLbls>
        <c:gapWidth val="150"/>
        <c:axId val="80576333"/>
        <c:axId val="97045208"/>
      </c:barChart>
      <c:catAx>
        <c:axId val="80576333"/>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Test Cases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7045208"/>
        <c:crosses val="autoZero"/>
        <c:auto val="1"/>
        <c:lblAlgn val="ctr"/>
        <c:lblOffset val="100"/>
        <c:noMultiLvlLbl val="0"/>
      </c:catAx>
      <c:valAx>
        <c:axId val="97045208"/>
        <c:scaling>
          <c:orientation val="minMax"/>
        </c:scaling>
        <c:delete val="0"/>
        <c:axPos val="b"/>
        <c:majorGridlines>
          <c:spPr>
            <a:ln w="0">
              <a:solidFill>
                <a:srgbClr val="B3B3B3"/>
              </a:solidFill>
            </a:ln>
          </c:spPr>
        </c:majorGridlines>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05763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Positive vs Negative Test Cases</a:t>
            </a:r>
          </a:p>
        </c:rich>
      </c:tx>
      <c:overlay val="0"/>
      <c:spPr>
        <a:noFill/>
        <a:ln w="0">
          <a:noFill/>
        </a:ln>
      </c:spPr>
    </c:title>
    <c:autoTitleDeleted val="0"/>
    <c:plotArea>
      <c:layout/>
      <c:pieChart>
        <c:varyColors val="1"/>
        <c:ser>
          <c:idx val="0"/>
          <c:order val="0"/>
          <c:spPr>
            <a:solidFill>
              <a:srgbClr val="4472C4"/>
            </a:solidFill>
            <a:ln w="0">
              <a:noFill/>
            </a:ln>
          </c:spPr>
          <c:dPt>
            <c:idx val="0"/>
            <c:bubble3D val="0"/>
            <c:extLst>
              <c:ext xmlns:c16="http://schemas.microsoft.com/office/drawing/2014/chart" uri="{C3380CC4-5D6E-409C-BE32-E72D297353CC}">
                <c16:uniqueId val="{00000001-79CD-4A6E-B23E-A19A815CED37}"/>
              </c:ext>
            </c:extLst>
          </c:dPt>
          <c:dPt>
            <c:idx val="1"/>
            <c:bubble3D val="0"/>
            <c:spPr>
              <a:solidFill>
                <a:srgbClr val="ED7D31"/>
              </a:solidFill>
              <a:ln w="0">
                <a:noFill/>
              </a:ln>
            </c:spPr>
            <c:extLst>
              <c:ext xmlns:c16="http://schemas.microsoft.com/office/drawing/2014/chart" uri="{C3380CC4-5D6E-409C-BE32-E72D297353CC}">
                <c16:uniqueId val="{00000003-79CD-4A6E-B23E-A19A815CED37}"/>
              </c:ext>
            </c:extLst>
          </c:dPt>
          <c:dPt>
            <c:idx val="2"/>
            <c:bubble3D val="0"/>
            <c:spPr>
              <a:solidFill>
                <a:srgbClr val="A5A5A5"/>
              </a:solidFill>
              <a:ln w="0">
                <a:noFill/>
              </a:ln>
            </c:spPr>
            <c:extLst>
              <c:ext xmlns:c16="http://schemas.microsoft.com/office/drawing/2014/chart" uri="{C3380CC4-5D6E-409C-BE32-E72D297353CC}">
                <c16:uniqueId val="{00000005-79CD-4A6E-B23E-A19A815CED37}"/>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79CD-4A6E-B23E-A19A815CED37}"/>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79CD-4A6E-B23E-A19A815CED37}"/>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79CD-4A6E-B23E-A19A815CED37}"/>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Summary!$P$64:$P$66</c:f>
              <c:strCache>
                <c:ptCount val="3"/>
                <c:pt idx="0">
                  <c:v>Positive</c:v>
                </c:pt>
                <c:pt idx="1">
                  <c:v>Negative</c:v>
                </c:pt>
                <c:pt idx="2">
                  <c:v>Other</c:v>
                </c:pt>
              </c:strCache>
            </c:strRef>
          </c:cat>
          <c:val>
            <c:numRef>
              <c:f>Summary!$Q$64:$Q$66</c:f>
              <c:numCache>
                <c:formatCode>General</c:formatCode>
                <c:ptCount val="3"/>
                <c:pt idx="0">
                  <c:v>1072</c:v>
                </c:pt>
                <c:pt idx="1">
                  <c:v>1120</c:v>
                </c:pt>
                <c:pt idx="2">
                  <c:v>9</c:v>
                </c:pt>
              </c:numCache>
            </c:numRef>
          </c:val>
          <c:extLst>
            <c:ext xmlns:c16="http://schemas.microsoft.com/office/drawing/2014/chart" uri="{C3380CC4-5D6E-409C-BE32-E72D297353CC}">
              <c16:uniqueId val="{00000006-79CD-4A6E-B23E-A19A815CED37}"/>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Execution Status Distribution</a:t>
            </a:r>
          </a:p>
        </c:rich>
      </c:tx>
      <c:overlay val="0"/>
      <c:spPr>
        <a:noFill/>
        <a:ln w="0">
          <a:noFill/>
        </a:ln>
      </c:spPr>
    </c:title>
    <c:autoTitleDeleted val="0"/>
    <c:plotArea>
      <c:layout/>
      <c:pieChart>
        <c:varyColors val="1"/>
        <c:ser>
          <c:idx val="0"/>
          <c:order val="0"/>
          <c:spPr>
            <a:solidFill>
              <a:srgbClr val="4472C4"/>
            </a:solidFill>
            <a:ln w="0">
              <a:noFill/>
            </a:ln>
          </c:spPr>
          <c:dPt>
            <c:idx val="0"/>
            <c:bubble3D val="0"/>
            <c:extLst>
              <c:ext xmlns:c16="http://schemas.microsoft.com/office/drawing/2014/chart" uri="{C3380CC4-5D6E-409C-BE32-E72D297353CC}">
                <c16:uniqueId val="{00000001-0C09-4BDA-8905-345A85F0EF1C}"/>
              </c:ext>
            </c:extLst>
          </c:dPt>
          <c:dPt>
            <c:idx val="1"/>
            <c:bubble3D val="0"/>
            <c:spPr>
              <a:solidFill>
                <a:srgbClr val="ED7D31"/>
              </a:solidFill>
              <a:ln w="0">
                <a:noFill/>
              </a:ln>
            </c:spPr>
            <c:extLst>
              <c:ext xmlns:c16="http://schemas.microsoft.com/office/drawing/2014/chart" uri="{C3380CC4-5D6E-409C-BE32-E72D297353CC}">
                <c16:uniqueId val="{00000003-0C09-4BDA-8905-345A85F0EF1C}"/>
              </c:ext>
            </c:extLst>
          </c:dPt>
          <c:dPt>
            <c:idx val="2"/>
            <c:bubble3D val="0"/>
            <c:spPr>
              <a:solidFill>
                <a:srgbClr val="A5A5A5"/>
              </a:solidFill>
              <a:ln w="0">
                <a:noFill/>
              </a:ln>
            </c:spPr>
            <c:extLst>
              <c:ext xmlns:c16="http://schemas.microsoft.com/office/drawing/2014/chart" uri="{C3380CC4-5D6E-409C-BE32-E72D297353CC}">
                <c16:uniqueId val="{00000005-0C09-4BDA-8905-345A85F0EF1C}"/>
              </c:ext>
            </c:extLst>
          </c:dPt>
          <c:dPt>
            <c:idx val="3"/>
            <c:bubble3D val="0"/>
            <c:spPr>
              <a:solidFill>
                <a:srgbClr val="FFC000"/>
              </a:solidFill>
              <a:ln w="0">
                <a:noFill/>
              </a:ln>
            </c:spPr>
            <c:extLst>
              <c:ext xmlns:c16="http://schemas.microsoft.com/office/drawing/2014/chart" uri="{C3380CC4-5D6E-409C-BE32-E72D297353CC}">
                <c16:uniqueId val="{00000007-0C09-4BDA-8905-345A85F0EF1C}"/>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0C09-4BDA-8905-345A85F0EF1C}"/>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0C09-4BDA-8905-345A85F0EF1C}"/>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0C09-4BDA-8905-345A85F0EF1C}"/>
                </c:ext>
              </c:extLst>
            </c:dLbl>
            <c:dLbl>
              <c:idx val="3"/>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0C09-4BDA-8905-345A85F0EF1C}"/>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Summary!$P$68:$P$71</c:f>
              <c:strCache>
                <c:ptCount val="4"/>
                <c:pt idx="0">
                  <c:v>Pass</c:v>
                </c:pt>
                <c:pt idx="1">
                  <c:v>Fail</c:v>
                </c:pt>
                <c:pt idx="2">
                  <c:v>Blocked</c:v>
                </c:pt>
                <c:pt idx="3">
                  <c:v>Not Executed</c:v>
                </c:pt>
              </c:strCache>
            </c:strRef>
          </c:cat>
          <c:val>
            <c:numRef>
              <c:f>Summary!$Q$68:$Q$71</c:f>
              <c:numCache>
                <c:formatCode>General</c:formatCode>
                <c:ptCount val="4"/>
                <c:pt idx="0">
                  <c:v>28</c:v>
                </c:pt>
                <c:pt idx="1">
                  <c:v>5</c:v>
                </c:pt>
                <c:pt idx="2">
                  <c:v>0</c:v>
                </c:pt>
                <c:pt idx="3">
                  <c:v>2168</c:v>
                </c:pt>
              </c:numCache>
            </c:numRef>
          </c:val>
          <c:extLst>
            <c:ext xmlns:c16="http://schemas.microsoft.com/office/drawing/2014/chart" uri="{C3380CC4-5D6E-409C-BE32-E72D297353CC}">
              <c16:uniqueId val="{00000008-0C09-4BDA-8905-345A85F0EF1C}"/>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6</xdr:col>
      <xdr:colOff>262080</xdr:colOff>
      <xdr:row>81</xdr:row>
      <xdr:rowOff>170640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63</xdr:row>
      <xdr:rowOff>0</xdr:rowOff>
    </xdr:from>
    <xdr:to>
      <xdr:col>20</xdr:col>
      <xdr:colOff>168480</xdr:colOff>
      <xdr:row>78</xdr:row>
      <xdr:rowOff>21960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79</xdr:row>
      <xdr:rowOff>0</xdr:rowOff>
    </xdr:from>
    <xdr:to>
      <xdr:col>20</xdr:col>
      <xdr:colOff>168480</xdr:colOff>
      <xdr:row>94</xdr:row>
      <xdr:rowOff>22320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1"/>
  <sheetViews>
    <sheetView showGridLines="0" zoomScaleNormal="100" workbookViewId="0">
      <pane ySplit="5" topLeftCell="A6" activePane="bottomLeft" state="frozen"/>
      <selection pane="bottomLeft"/>
    </sheetView>
  </sheetViews>
  <sheetFormatPr defaultColWidth="8.7109375" defaultRowHeight="15"/>
  <cols>
    <col min="1" max="1" width="2" customWidth="1"/>
    <col min="2" max="2" width="30" customWidth="1"/>
    <col min="3" max="14" width="12" customWidth="1"/>
    <col min="15" max="19" width="10" customWidth="1"/>
  </cols>
  <sheetData>
    <row r="1" spans="1:20" ht="7.5" customHeight="1">
      <c r="A1" s="2"/>
      <c r="B1" s="2"/>
      <c r="C1" s="2"/>
      <c r="D1" s="2"/>
      <c r="E1" s="2"/>
      <c r="F1" s="2"/>
      <c r="G1" s="2"/>
      <c r="H1" s="2"/>
      <c r="I1" s="2"/>
      <c r="J1" s="2"/>
      <c r="K1" s="2"/>
      <c r="L1" s="2"/>
      <c r="M1" s="2"/>
      <c r="N1" s="2"/>
      <c r="O1" s="2"/>
      <c r="P1" s="2"/>
      <c r="Q1" s="2"/>
      <c r="R1" s="2"/>
      <c r="S1" s="2"/>
    </row>
    <row r="2" spans="1:20" ht="30" customHeight="1">
      <c r="A2" s="2"/>
      <c r="B2" s="35" t="s">
        <v>0</v>
      </c>
      <c r="C2" s="35"/>
      <c r="D2" s="35"/>
      <c r="E2" s="35"/>
      <c r="F2" s="35"/>
      <c r="G2" s="35"/>
      <c r="H2" s="35"/>
      <c r="I2" s="35"/>
      <c r="J2" s="35"/>
      <c r="K2" s="35"/>
      <c r="L2" s="35"/>
      <c r="M2" s="35"/>
      <c r="N2" s="35"/>
      <c r="O2" s="35"/>
      <c r="P2" s="35"/>
      <c r="Q2" s="35"/>
      <c r="R2" s="35"/>
      <c r="S2" s="35"/>
    </row>
    <row r="3" spans="1:20" ht="21.75" customHeight="1">
      <c r="A3" s="2"/>
      <c r="B3" s="36" t="s">
        <v>1</v>
      </c>
      <c r="C3" s="36"/>
      <c r="D3" s="36"/>
      <c r="E3" s="36"/>
      <c r="F3" s="36"/>
      <c r="G3" s="36"/>
      <c r="H3" s="36"/>
      <c r="I3" s="36"/>
      <c r="J3" s="36"/>
      <c r="K3" s="36"/>
      <c r="L3" s="36"/>
      <c r="M3" s="36"/>
      <c r="N3" s="36"/>
      <c r="O3" s="36"/>
      <c r="P3" s="36"/>
      <c r="Q3" s="36"/>
      <c r="R3" s="36"/>
      <c r="S3" s="36"/>
    </row>
    <row r="5" spans="1:20" ht="18" customHeight="1">
      <c r="B5" s="37" t="s">
        <v>2</v>
      </c>
      <c r="C5" s="37"/>
      <c r="D5" s="37"/>
      <c r="E5" s="37"/>
      <c r="G5" s="38" t="s">
        <v>3</v>
      </c>
      <c r="H5" s="38"/>
      <c r="I5" s="38"/>
      <c r="J5" s="38"/>
      <c r="L5" s="39" t="s">
        <v>4</v>
      </c>
      <c r="M5" s="39"/>
      <c r="N5" s="39"/>
      <c r="O5" s="39"/>
      <c r="Q5" s="40" t="s">
        <v>5</v>
      </c>
      <c r="R5" s="40"/>
      <c r="S5" s="40"/>
      <c r="T5" s="40"/>
    </row>
    <row r="6" spans="1:20" ht="33.75" customHeight="1">
      <c r="B6" s="41">
        <f>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f>
        <v>2201</v>
      </c>
      <c r="C6" s="41"/>
      <c r="D6" s="41"/>
      <c r="E6" s="41"/>
      <c r="G6" s="42">
        <f>COUNTIF(Register!D2:D41,"*Positive*")+COUNTIF(Login!D2:D34,"*Positive*")+COUNTIF('Forgot Password'!D2:D34,"*Positive*")+COUNTIF('Supplier Onboarding'!D2:D256,"*Positive*")+COUNTIF('Buyer Onboarding'!D2:D223,"*Positive*")+COUNTIF('Supplier Dashboard page'!D2:D109,"*Positive*")+COUNTIF('Supplier Buyer page'!D2:D115,"*Positive*")+COUNTIF('Supplier Reports Page'!D2:D75,"*Positive*")+COUNTIF('Supplier Invoices Page'!D2:D132,"*Positive*")+COUNTIF('Supplier Admin page '!D2:D84,"*Positive*")+COUNTIF('Supplier Help and Support Page'!D2:D55,"*Positive*")+COUNTIF('Supplier Entity'!D2:D305,"*Positive*")+COUNTIF('Buyer Dashboard'!D2:D83,"*Positive*")+COUNTIF('Add Supplier Page'!D2:D43,"*Positive*")+COUNTIF('Buyer Report Page'!D2:D75,"*Positive*")+COUNTIF('Buyer Help and Support Page'!D2:D55,"*Positive*")+COUNTIF('Buyer Entity Page'!D2:D258,"*Positive*")+COUNTIF('Buyer Add Card Page '!D2:D38,"*Positive*")+COUNTIF('Buyer Payable Page'!D2:D85,"*Positive*")+COUNTIF('Email Notification'!D2:D82,"*Positive*")+COUNTIF('In_App Notification'!D2:D65,"*Positive*")</f>
        <v>1072</v>
      </c>
      <c r="H6" s="42"/>
      <c r="I6" s="42"/>
      <c r="J6" s="42"/>
      <c r="L6" s="43">
        <f>COUNTIF(Register!D2:D41,"*Negative*")+COUNTIF(Login!D2:D34,"*Negative*")+COUNTIF('Forgot Password'!D2:D34,"*Negative*")+COUNTIF('Supplier Onboarding'!D2:D256,"*Negative*")+COUNTIF('Buyer Onboarding'!D2:D223,"*Negative*")+COUNTIF('Supplier Dashboard page'!D2:D109,"*Negative*")+COUNTIF('Supplier Buyer page'!D2:D115,"*Negative*")+COUNTIF('Supplier Reports Page'!D2:D75,"*Negative*")+COUNTIF('Supplier Invoices Page'!D2:D132,"*Negative*")+COUNTIF('Supplier Admin page '!D2:D84,"*Negative*")+COUNTIF('Supplier Help and Support Page'!D2:D55,"*Negative*")+COUNTIF('Supplier Entity'!D2:D305,"*Negative*")+COUNTIF('Buyer Dashboard'!D2:D83,"*Negative*")+COUNTIF('Add Supplier Page'!D2:D43,"*Negative*")+COUNTIF('Buyer Report Page'!D2:D75,"*Negative*")+COUNTIF('Buyer Help and Support Page'!D2:D55,"*Negative*")+COUNTIF('Buyer Entity Page'!D2:D258,"*Negative*")+COUNTIF('Buyer Add Card Page '!D2:D38,"*Negative*")+COUNTIF('Buyer Payable Page'!D2:D85,"*Negative*")+COUNTIF('Email Notification'!D2:D82,"*Negative*")+COUNTIF('In_App Notification'!D2:D65,"*Negative*")</f>
        <v>1120</v>
      </c>
      <c r="M6" s="43"/>
      <c r="N6" s="43"/>
      <c r="O6" s="43"/>
      <c r="Q6" s="44">
        <f>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Notification'!D2:D65)-(COUNTIF(Register!D2:D41,"*Positive*")+COUNTIF(Login!D2:D34,"*Positive*")+COUNTIF('Forgot Password'!D2:D34,"*Positive*")+COUNTIF('Supplier Onboarding'!D2:D256,"*Positive*")+COUNTIF('Buyer Onboarding'!D2:D223,"*Positive*")+COUNTIF('Supplier Dashboard page'!D2:D109,"*Positive*")+COUNTIF('Supplier Buyer page'!D2:D115,"*Positive*")+COUNTIF('Supplier Reports Page'!D2:D75,"*Positive*")+COUNTIF('Supplier Invoices Page'!D2:D132,"*Positive*")+COUNTIF('Supplier Admin page '!D2:D84,"*Positive*")+COUNTIF('Supplier Help and Support Page'!D2:D55,"*Positive*")+COUNTIF('Supplier Entity'!D2:D305,"*Positive*")+COUNTIF('Buyer Dashboard'!D2:D83,"*Positive*")+COUNTIF('Add Supplier Page'!D2:D43,"*Positive*")+COUNTIF('Buyer Report Page'!D2:D75,"*Positive*")+COUNTIF('Buyer Help and Support Page'!D2:D55,"*Positive*")+COUNTIF('Buyer Entity Page'!D2:D258,"*Positive*")+COUNTIF('Buyer Add Card Page '!D2:D38,"*Positive*")+COUNTIF('Buyer Payable Page'!D2:D85,"*Positive*")+COUNTIF('Email Notification'!D2:D82,"*Positive*")+COUNTIF('In_App Notification'!D2:D65,"*Positive*"))-(COUNTIF(Register!D2:D41,"*Negative*")+COUNTIF(Login!D2:D34,"*Negative*")+COUNTIF('Forgot Password'!D2:D34,"*Negative*")+COUNTIF('Supplier Onboarding'!D2:D256,"*Negative*")+COUNTIF('Buyer Onboarding'!D2:D223,"*Negative*")+COUNTIF('Supplier Dashboard page'!D2:D109,"*Negative*")+COUNTIF('Supplier Buyer page'!D2:D115,"*Negative*")+COUNTIF('Supplier Reports Page'!D2:D75,"*Negative*")+COUNTIF('Supplier Invoices Page'!D2:D132,"*Negative*")+COUNTIF('Supplier Admin page '!D2:D84,"*Negative*")+COUNTIF('Supplier Help and Support Page'!D2:D55,"*Negative*")+COUNTIF('Supplier Entity'!D2:D305,"*Negative*")+COUNTIF('Buyer Dashboard'!D2:D83,"*Negative*")+COUNTIF('Add Supplier Page'!D2:D43,"*Negative*")+COUNTIF('Buyer Report Page'!D2:D75,"*Negative*")+COUNTIF('Buyer Help and Support Page'!D2:D55,"*Negative*")+COUNTIF('Buyer Entity Page'!D2:D258,"*Negative*")+COUNTIF('Buyer Add Card Page '!D2:D38,"*Negative*")+COUNTIF('Buyer Payable Page'!D2:D85,"*Negative*")+COUNTIF('Email Notification'!D2:D82,"*Negative*")+COUNTIF('In_App Notification'!D2:D65,"*Negative*"))</f>
        <v>9</v>
      </c>
      <c r="R6" s="44"/>
      <c r="S6" s="44"/>
      <c r="T6" s="44"/>
    </row>
    <row r="7" spans="1:20" ht="15.75" customHeight="1">
      <c r="B7" s="45" t="s">
        <v>6</v>
      </c>
      <c r="C7" s="45"/>
      <c r="D7" s="45"/>
      <c r="E7" s="45"/>
      <c r="G7" s="46" t="s">
        <v>7</v>
      </c>
      <c r="H7" s="46"/>
      <c r="I7" s="46"/>
      <c r="J7" s="46"/>
      <c r="L7" s="47" t="s">
        <v>8</v>
      </c>
      <c r="M7" s="47"/>
      <c r="N7" s="47"/>
      <c r="O7" s="47"/>
      <c r="Q7" s="48" t="s">
        <v>9</v>
      </c>
      <c r="R7" s="48"/>
      <c r="S7" s="48"/>
      <c r="T7" s="48"/>
    </row>
    <row r="10" spans="1:20" ht="18" customHeight="1">
      <c r="B10" s="49" t="s">
        <v>10</v>
      </c>
      <c r="C10" s="49"/>
      <c r="D10" s="49"/>
      <c r="E10" s="49"/>
      <c r="G10" s="50" t="s">
        <v>11</v>
      </c>
      <c r="H10" s="50"/>
      <c r="I10" s="50"/>
      <c r="J10" s="50"/>
      <c r="L10" s="40" t="s">
        <v>12</v>
      </c>
      <c r="M10" s="40"/>
      <c r="N10" s="40"/>
      <c r="O10" s="40"/>
      <c r="Q10" s="51" t="s">
        <v>13</v>
      </c>
      <c r="R10" s="51"/>
      <c r="S10" s="51"/>
      <c r="T10" s="51"/>
    </row>
    <row r="11" spans="1:20" ht="33.75" customHeight="1">
      <c r="B11" s="52">
        <f>COUNTIF(Register!J2:J41,"Pass")+COUNTIF(Login!J2:J34,"Pass")+COUNTIF('Forgot Password'!J2:J34,"Pass")+COUNTIF('Supplier Onboarding'!J2:J256,"Pass")+COUNTIF('Buyer Onboarding'!J2:J223,"Pass")+COUNTIF('Supplier Dashboard page'!J2:J109,"Pass")+COUNTIF('Supplier Buyer page'!J2:J115,"Pass")+COUNTIF('Supplier Reports Page'!J2:J75,"Pass")+COUNTIF('Supplier Invoices Page'!J2:J132,"Pass")+COUNTIF('Supplier Admin page '!J2:J84,"Pass")+COUNTIF('Supplier Help and Support Page'!J2:J55,"Pass")+COUNTIF('Supplier Entity'!J2:J305,"Pass")+COUNTIF('Buyer Dashboard'!J2:J83,"Pass")+COUNTIF('Add Supplier Page'!J2:J43,"Pass")+COUNTIF('Buyer Report Page'!J2:J75,"Pass")+COUNTIF('Buyer Help and Support Page'!J2:J55,"Pass")+COUNTIF('Buyer Entity Page'!J2:J258,"Pass")+COUNTIF('Buyer Add Card Page '!J2:J38,"Pass")+COUNTIF('Buyer Payable Page'!J2:J85,"Pass")+COUNTIF('Email Notification'!J2:J82,"Pass")+COUNTIF('In_App Notification'!J2:J65,"Pass")</f>
        <v>28</v>
      </c>
      <c r="C11" s="52"/>
      <c r="D11" s="52"/>
      <c r="E11" s="52"/>
      <c r="G11" s="53">
        <f>COUNTIF(Register!J2:J41,"Fail")+COUNTIF(Login!J2:J34,"Fail")+COUNTIF('Forgot Password'!J2:J34,"Fail")+COUNTIF('Supplier Onboarding'!J2:J256,"Fail")+COUNTIF('Buyer Onboarding'!J2:J223,"Fail")+COUNTIF('Supplier Dashboard page'!J2:J109,"Fail")+COUNTIF('Supplier Buyer page'!J2:J115,"Fail")+COUNTIF('Supplier Reports Page'!J2:J75,"Fail")+COUNTIF('Supplier Invoices Page'!J2:J132,"Fail")+COUNTIF('Supplier Admin page '!J2:J84,"Fail")+COUNTIF('Supplier Help and Support Page'!J2:J55,"Fail")+COUNTIF('Supplier Entity'!J2:J305,"Fail")+COUNTIF('Buyer Dashboard'!J2:J83,"Fail")+COUNTIF('Add Supplier Page'!J2:J43,"Fail")+COUNTIF('Buyer Report Page'!J2:J75,"Fail")+COUNTIF('Buyer Help and Support Page'!J2:J55,"Fail")+COUNTIF('Buyer Entity Page'!J2:J258,"Fail")+COUNTIF('Buyer Add Card Page '!J2:J38,"Fail")+COUNTIF('Buyer Payable Page'!J2:J85,"Fail")+COUNTIF('Email Notification'!J2:J82,"Fail")+COUNTIF('In_App Notification'!J2:J65,"Fail")</f>
        <v>5</v>
      </c>
      <c r="H11" s="53"/>
      <c r="I11" s="53"/>
      <c r="J11" s="53"/>
      <c r="L11" s="44">
        <f>COUNTIF(Register!J2:J41,"Blocked")+COUNTIF(Login!J2:J34,"Blocked")+COUNTIF('Forgot Password'!J2:J34,"Blocked")+COUNTIF('Supplier Onboarding'!J2:J256,"Blocked")+COUNTIF('Buyer Onboarding'!J2:J223,"Blocked")+COUNTIF('Supplier Dashboard page'!J2:J109,"Blocked")+COUNTIF('Supplier Buyer page'!J2:J115,"Blocked")+COUNTIF('Supplier Reports Page'!J2:J75,"Blocked")+COUNTIF('Supplier Invoices Page'!J2:J132,"Blocked")+COUNTIF('Supplier Admin page '!J2:J84,"Blocked")+COUNTIF('Supplier Help and Support Page'!J2:J55,"Blocked")+COUNTIF('Supplier Entity'!J2:J305,"Blocked")+COUNTIF('Buyer Dashboard'!J2:J83,"Blocked")+COUNTIF('Add Supplier Page'!J2:J43,"Blocked")+COUNTIF('Buyer Report Page'!J2:J75,"Blocked")+COUNTIF('Buyer Help and Support Page'!J2:J55,"Blocked")+COUNTIF('Buyer Entity Page'!J2:J258,"Blocked")+COUNTIF('Buyer Add Card Page '!J2:J38,"Blocked")+COUNTIF('Buyer Payable Page'!J2:J85,"Blocked")+COUNTIF('Email Notification'!J2:J82,"Blocked")+COUNTIF('In_App Notification'!J2:J65,"Blocked")</f>
        <v>0</v>
      </c>
      <c r="M11" s="44"/>
      <c r="N11" s="44"/>
      <c r="O11" s="44"/>
      <c r="Q11" s="54">
        <f>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Notification'!D2:D65)-(COUNTIF(Register!J2:J41,"Pass")+COUNTIF(Login!J2:J34,"Pass")+COUNTIF('Forgot Password'!J2:J34,"Pass")+COUNTIF('Supplier Onboarding'!J2:J256,"Pass")+COUNTIF('Buyer Onboarding'!J2:J223,"Pass")+COUNTIF('Supplier Dashboard page'!J2:J109,"Pass")+COUNTIF('Supplier Buyer page'!J2:J115,"Pass")+COUNTIF('Supplier Reports Page'!J2:J75,"Pass")+COUNTIF('Supplier Invoices Page'!J2:J132,"Pass")+COUNTIF('Supplier Admin page '!J2:J84,"Pass")+COUNTIF('Supplier Help and Support Page'!J2:J55,"Pass")+COUNTIF('Supplier Entity'!J2:J305,"Pass")+COUNTIF('Buyer Dashboard'!J2:J83,"Pass")+COUNTIF('Add Supplier Page'!J2:J43,"Pass")+COUNTIF('Buyer Report Page'!J2:J75,"Pass")+COUNTIF('Buyer Help and Support Page'!J2:J55,"Pass")+COUNTIF('Buyer Entity Page'!J2:J258,"Pass")+COUNTIF('Buyer Add Card Page '!J2:J38,"Pass")+COUNTIF('Buyer Payable Page'!J2:J85,"Pass")+COUNTIF('Email Notification'!J2:J82,"Pass")+COUNTIF('In_App Notification'!J2:J65,"Pass"))-(COUNTIF(Register!J2:J41,"Fail")+COUNTIF(Login!J2:J34,"Fail")+COUNTIF('Forgot Password'!J2:J34,"Fail")+COUNTIF('Supplier Onboarding'!J2:J256,"Fail")+COUNTIF('Buyer Onboarding'!J2:J223,"Fail")+COUNTIF('Supplier Dashboard page'!J2:J109,"Fail")+COUNTIF('Supplier Buyer page'!J2:J115,"Fail")+COUNTIF('Supplier Reports Page'!J2:J75,"Fail")+COUNTIF('Supplier Invoices Page'!J2:J132,"Fail")+COUNTIF('Supplier Admin page '!J2:J84,"Fail")+COUNTIF('Supplier Help and Support Page'!J2:J55,"Fail")+COUNTIF('Supplier Entity'!J2:J305,"Fail")+COUNTIF('Buyer Dashboard'!J2:J83,"Fail")+COUNTIF('Add Supplier Page'!J2:J43,"Fail")+COUNTIF('Buyer Report Page'!J2:J75,"Fail")+COUNTIF('Buyer Help and Support Page'!J2:J55,"Fail")+COUNTIF('Buyer Entity Page'!J2:J258,"Fail")+COUNTIF('Buyer Add Card Page '!J2:J38,"Fail")+COUNTIF('Buyer Payable Page'!J2:J85,"Fail")+COUNTIF('Email Notification'!J2:J82,"Fail")+COUNTIF('In_App Notification'!J2:J65,"Fail"))-(COUNTIF(Register!J2:J41,"Blocked")+COUNTIF(Login!J2:J34,"Blocked")+COUNTIF('Forgot Password'!J2:J34,"Blocked")+COUNTIF('Supplier Onboarding'!J2:J256,"Blocked")+COUNTIF('Buyer Onboarding'!J2:J223,"Blocked")+COUNTIF('Supplier Dashboard page'!J2:J109,"Blocked")+COUNTIF('Supplier Buyer page'!J2:J115,"Blocked")+COUNTIF('Supplier Reports Page'!J2:J75,"Blocked")+COUNTIF('Supplier Invoices Page'!J2:J132,"Blocked")+COUNTIF('Supplier Admin page '!J2:J84,"Blocked")+COUNTIF('Supplier Help and Support Page'!J2:J55,"Blocked")+COUNTIF('Supplier Entity'!J2:J305,"Blocked")+COUNTIF('Buyer Dashboard'!J2:J83,"Blocked")+COUNTIF('Add Supplier Page'!J2:J43,"Blocked")+COUNTIF('Buyer Report Page'!J2:J75,"Blocked")+COUNTIF('Buyer Help and Support Page'!J2:J55,"Blocked")+COUNTIF('Buyer Entity Page'!J2:J258,"Blocked")+COUNTIF('Buyer Add Card Page '!J2:J38,"Blocked")+COUNTIF('Buyer Payable Page'!J2:J85,"Blocked")+COUNTIF('Email Notification'!J2:J82,"Blocked")+COUNTIF('In_App Notification'!J2:J65,"Blocked"))-(COUNTIF(Register!J2:J41,"Not Applicable")+COUNTIF(Login!J2:J34,"Not Applicable")+COUNTIF('Forgot Password'!J2:J34,"Not Applicable")+COUNTIF('Supplier Onboarding'!J2:J256,"Not Applicable")+COUNTIF('Buyer Onboarding'!J2:J223,"Not Applicable")+COUNTIF('Supplier Dashboard page'!J2:J109,"Not Applicable")+COUNTIF('Supplier Buyer page'!J2:J115,"Not Applicable")+COUNTIF('Supplier Reports Page'!J2:J75,"Not Applicable")+COUNTIF('Supplier Invoices Page'!J2:J132,"Not Applicable")+COUNTIF('Supplier Admin page '!J2:J84,"Not Applicable")+COUNTIF('Supplier Help and Support Page'!J2:J55,"Not Applicable")+COUNTIF('Supplier Entity'!J2:J305,"Not Applicable")+COUNTIF('Buyer Dashboard'!J2:J83,"Not Applicable")+COUNTIF('Add Supplier Page'!J2:J43,"Not Applicable")+COUNTIF('Buyer Report Page'!J2:J75,"Not Applicable")+COUNTIF('Buyer Help and Support Page'!J2:J55,"Not Applicable")+COUNTIF('Buyer Entity Page'!J2:J258,"Not Applicable")+COUNTIF('Buyer Add Card Page '!J2:J38,"Not Applicable")+COUNTIF('Buyer Payable Page'!J2:J85,"Not Applicable")+COUNTIF('Email Notification'!J2:J82,"Not Applicable")+COUNTIF('In_App Notification'!J2:J65,"Not Applicable"))</f>
        <v>2168</v>
      </c>
      <c r="R11" s="54"/>
      <c r="S11" s="54"/>
      <c r="T11" s="54"/>
    </row>
    <row r="12" spans="1:20" ht="15.75" customHeight="1">
      <c r="B12" s="55" t="s">
        <v>14</v>
      </c>
      <c r="C12" s="55"/>
      <c r="D12" s="55"/>
      <c r="E12" s="55"/>
      <c r="G12" s="56" t="s">
        <v>15</v>
      </c>
      <c r="H12" s="56"/>
      <c r="I12" s="56"/>
      <c r="J12" s="56"/>
      <c r="L12" s="48" t="s">
        <v>16</v>
      </c>
      <c r="M12" s="48"/>
      <c r="N12" s="48"/>
      <c r="O12" s="48"/>
      <c r="Q12" s="57" t="s">
        <v>17</v>
      </c>
      <c r="R12" s="57"/>
      <c r="S12" s="57"/>
      <c r="T12" s="57"/>
    </row>
    <row r="15" spans="1:20" ht="21.75" customHeight="1">
      <c r="B15" s="58" t="s">
        <v>18</v>
      </c>
      <c r="C15" s="58"/>
      <c r="D15" s="58"/>
      <c r="E15" s="58"/>
      <c r="F15" s="58"/>
      <c r="G15" s="58"/>
      <c r="H15" s="58"/>
      <c r="I15" s="58"/>
      <c r="J15" s="58"/>
      <c r="K15" s="58"/>
      <c r="L15" s="58"/>
      <c r="M15" s="58"/>
      <c r="N15" s="58"/>
      <c r="O15" s="58"/>
      <c r="P15" s="58"/>
      <c r="Q15" s="58"/>
      <c r="R15" s="58"/>
      <c r="S15" s="58"/>
    </row>
    <row r="16" spans="1:20" ht="27.75" customHeight="1">
      <c r="B16" s="59" t="s">
        <v>19</v>
      </c>
      <c r="C16" s="59"/>
      <c r="D16" s="59"/>
      <c r="E16" s="59" t="s">
        <v>20</v>
      </c>
      <c r="F16" s="59"/>
      <c r="G16" s="59"/>
      <c r="H16" s="59" t="s">
        <v>21</v>
      </c>
      <c r="I16" s="59"/>
      <c r="J16" s="59"/>
      <c r="K16" s="59" t="s">
        <v>22</v>
      </c>
      <c r="L16" s="59"/>
      <c r="M16" s="59"/>
      <c r="N16" s="59" t="s">
        <v>23</v>
      </c>
      <c r="O16" s="59"/>
      <c r="P16" s="59"/>
    </row>
    <row r="17" spans="2:19" ht="25.5" customHeight="1">
      <c r="B17" s="61">
        <f>IFERROR((COUNTIF(Register!J2:J41,"Pass")+COUNTIF(Login!J2:J34,"Pass")+COUNTIF('Forgot Password'!J2:J34,"Pass")+COUNTIF('Supplier Onboarding'!J2:J256,"Pass")+COUNTIF('Buyer Onboarding'!J2:J223,"Pass")+COUNTIF('Supplier Dashboard page'!J2:J109,"Pass")+COUNTIF('Supplier Buyer page'!J2:J115,"Pass")+COUNTIF('Supplier Reports Page'!J2:J75,"Pass")+COUNTIF('Supplier Invoices Page'!J2:J132,"Pass")+COUNTIF('Supplier Admin page '!J2:J84,"Pass")+COUNTIF('Supplier Help and Support Page'!J2:J55,"Pass")+COUNTIF('Supplier Entity'!J2:J305,"Pass")+COUNTIF('Buyer Dashboard'!J2:J83,"Pass")+COUNTIF('Add Supplier Page'!J2:J43,"Pass")+COUNTIF('Buyer Report Page'!J2:J75,"Pass")+COUNTIF('Buyer Help and Support Page'!J2:J55,"Pass")+COUNTIF('Buyer Entity Page'!J2:J258,"Pass")+COUNTIF('Buyer Add Card Page '!J2:J38,"Pass")+COUNTIF('Buyer Payable Page'!J2:J85,"Pass")+COUNTIF('Email Notification'!J2:J82,"Pass")+COUNTIF('In_App Notification'!J2:J65,"Pass")+COUNTIF(Register!J2:J41,"Fail")+COUNTIF(Login!J2:J34,"Fail")+COUNTIF('Forgot Password'!J2:J34,"Fail")+COUNTIF('Supplier Onboarding'!J2:J256,"Fail")+COUNTIF('Buyer Onboarding'!J2:J223,"Fail")+COUNTIF('Supplier Dashboard page'!J2:J109,"Fail")+COUNTIF('Supplier Buyer page'!J2:J115,"Fail")+COUNTIF('Supplier Reports Page'!J2:J75,"Fail")+COUNTIF('Supplier Invoices Page'!J2:J132,"Fail")+COUNTIF('Supplier Admin page '!J2:J84,"Fail")+COUNTIF('Supplier Help and Support Page'!J2:J55,"Fail")+COUNTIF('Supplier Entity'!J2:J305,"Fail")+COUNTIF('Buyer Dashboard'!J2:J83,"Fail")+COUNTIF('Add Supplier Page'!J2:J43,"Fail")+COUNTIF('Buyer Report Page'!J2:J75,"Fail")+COUNTIF('Buyer Help and Support Page'!J2:J55,"Fail")+COUNTIF('Buyer Entity Page'!J2:J258,"Fail")+COUNTIF('Buyer Add Card Page '!J2:J38,"Fail")+COUNTIF('Buyer Payable Page'!J2:J85,"Fail")+COUNTIF('Email Notification'!J2:J82,"Fail")+COUNTIF('In_App Notification'!J2:J65,"Fail")+COUNTIF(Register!J2:J41,"Blocked")+COUNTIF(Login!J2:J34,"Blocked")+COUNTIF('Forgot Password'!J2:J34,"Blocked")+COUNTIF('Supplier Onboarding'!J2:J256,"Blocked")+COUNTIF('Buyer Onboarding'!J2:J223,"Blocked")+COUNTIF('Supplier Dashboard page'!J2:J109,"Blocked")+COUNTIF('Supplier Buyer page'!J2:J115,"Blocked")+COUNTIF('Supplier Reports Page'!J2:J75,"Blocked")+COUNTIF('Supplier Invoices Page'!J2:J132,"Blocked")+COUNTIF('Supplier Admin page '!J2:J84,"Blocked")+COUNTIF('Supplier Help and Support Page'!J2:J55,"Blocked")+COUNTIF('Supplier Entity'!J2:J305,"Blocked")+COUNTIF('Buyer Dashboard'!J2:J83,"Blocked")+COUNTIF('Add Supplier Page'!J2:J43,"Blocked")+COUNTIF('Buyer Report Page'!J2:J75,"Blocked")+COUNTIF('Buyer Help and Support Page'!J2:J55,"Blocked")+COUNTIF('Buyer Entity Page'!J2:J258,"Blocked")+COUNTIF('Buyer Add Card Page '!J2:J38,"Blocked")+COUNTIF('Buyer Payable Page'!J2:J85,"Blocked")+COUNTIF('Email Notification'!J2:J82,"Blocked")+COUNTIF('In_App Notification'!J2:J65,"Blocked"))/(COUNTA(Register!D2:D41)+COUNTA(Login!D2:D34)+COUNTA('Forgot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1.4993184915947297E-2</v>
      </c>
      <c r="C17" s="61"/>
      <c r="D17" s="61"/>
      <c r="E17" s="61">
        <f>IFERROR((COUNTIF(Register!J2:J41,"Pass")+COUNTIF(Login!J2:J34,"Pass")+COUNTIF('Forgot Password'!J2:J34,"Pass")+COUNTIF('Supplier Onboarding'!J2:J256,"Pass")+COUNTIF('Buyer Onboarding'!J2:J223,"Pass")+COUNTIF('Supplier Dashboard page'!J2:J109,"Pass")+COUNTIF('Supplier Buyer page'!J2:J115,"Pass")+COUNTIF('Supplier Reports Page'!J2:J75,"Pass")+COUNTIF('Supplier Invoices Page'!J2:J132,"Pass")+COUNTIF('Supplier Admin page '!J2:J84,"Pass")+COUNTIF('Supplier Help and Support Page'!J2:J55,"Pass")+COUNTIF('Supplier Entity'!J2:J305,"Pass")+COUNTIF('Buyer Dashboard'!J2:J83,"Pass")+COUNTIF('Add Supplier Page'!J2:J43,"Pass")+COUNTIF('Buyer Report Page'!J2:J75,"Pass")+COUNTIF('Buyer Help and Support Page'!J2:J55,"Pass")+COUNTIF('Buyer Entity Page'!J2:J258,"Pass")+COUNTIF('Buyer Add Card Page '!J2:J38,"Pass")+COUNTIF('Buyer Payable Page'!J2:J85,"Pass")+COUNTIF('Email Notification'!J2:J82,"Pass")+COUNTIF('In_App Notification'!J2:J65,"Pass"))/(COUNTIF(Register!J2:J41,"Pass")+COUNTIF(Login!J2:J34,"Pass")+COUNTIF('Forgot Password'!J2:J34,"Pass")+COUNTIF('Supplier Onboarding'!J2:J256,"Pass")+COUNTIF('Buyer Onboarding'!J2:J223,"Pass")+COUNTIF('Supplier Dashboard page'!J2:J109,"Pass")+COUNTIF('Supplier Buyer page'!J2:J115,"Pass")+COUNTIF('Supplier Reports Page'!J2:J75,"Pass")+COUNTIF('Supplier Invoices Page'!J2:J132,"Pass")+COUNTIF('Supplier Admin page '!J2:J84,"Pass")+COUNTIF('Supplier Help and Support Page'!J2:J55,"Pass")+COUNTIF('Supplier Entity'!J2:J305,"Pass")+COUNTIF('Buyer Dashboard'!J2:J83,"Pass")+COUNTIF('Add Supplier Page'!J2:J43,"Pass")+COUNTIF('Buyer Report Page'!J2:J75,"Pass")+COUNTIF('Buyer Help and Support Page'!J2:J55,"Pass")+COUNTIF('Buyer Entity Page'!J2:J258,"Pass")+COUNTIF('Buyer Add Card Page '!J2:J38,"Pass")+COUNTIF('Buyer Payable Page'!J2:J85,"Pass")+COUNTIF('Email Notification'!J2:J82,"Pass")+COUNTIF('In_App Notification'!J2:J65,"Pass")+COUNTIF(Register!J2:J41,"Fail")+COUNTIF(Login!J2:J34,"Fail")+COUNTIF('Forgot Password'!J2:J34,"Fail")+COUNTIF('Supplier Onboarding'!J2:J256,"Fail")+COUNTIF('Buyer Onboarding'!J2:J223,"Fail")+COUNTIF('Supplier Dashboard page'!J2:J109,"Fail")+COUNTIF('Supplier Buyer page'!J2:J115,"Fail")+COUNTIF('Supplier Reports Page'!J2:J75,"Fail")+COUNTIF('Supplier Invoices Page'!J2:J132,"Fail")+COUNTIF('Supplier Admin page '!J2:J84,"Fail")+COUNTIF('Supplier Help and Support Page'!J2:J55,"Fail")+COUNTIF('Supplier Entity'!J2:J305,"Fail")+COUNTIF('Buyer Dashboard'!J2:J83,"Fail")+COUNTIF('Add Supplier Page'!J2:J43,"Fail")+COUNTIF('Buyer Report Page'!J2:J75,"Fail")+COUNTIF('Buyer Help and Support Page'!J2:J55,"Fail")+COUNTIF('Buyer Entity Page'!J2:J258,"Fail")+COUNTIF('Buyer Add Card Page '!J2:J38,"Fail")+COUNTIF('Buyer Payable Page'!J2:J85,"Fail")+COUNTIF('Email Notification'!J2:J82,"Fail")+COUNTIF('In_App Notification'!J2:J65,"Fail")),0)</f>
        <v>0.84848484848484851</v>
      </c>
      <c r="F17" s="61"/>
      <c r="G17" s="61"/>
      <c r="H17" s="62">
        <f>COUNTIF(Register!E2:E41,"High")+COUNTIF(Login!E2:E34,"High")+COUNTIF('Forgot Password'!E2:E34,"High")+COUNTIF('Supplier Onboarding'!E2:E256,"High")+COUNTIF('Buyer Onboarding'!E2:E223,"High")+COUNTIF('Supplier Dashboard page'!E2:E109,"High")+COUNTIF('Supplier Buyer page'!E2:E115,"High")+COUNTIF('Supplier Reports Page'!E2:E75,"High")+COUNTIF('Supplier Invoices Page'!E2:E132,"High")+COUNTIF('Supplier Admin page '!E2:E84,"High")+COUNTIF('Supplier Help and Support Page'!E2:E55,"High")+COUNTIF('Supplier Entity'!E2:E305,"High")+COUNTIF('Buyer Dashboard'!E2:E83,"High")+COUNTIF('Add Supplier Page'!E2:E43,"High")+COUNTIF('Buyer Report Page'!E2:E75,"High")+COUNTIF('Buyer Help and Support Page'!E2:E55,"High")+COUNTIF('Buyer Entity Page'!E2:E258,"High")+COUNTIF('Buyer Add Card Page '!E2:E38,"High")+COUNTIF('Buyer Payable Page'!E2:E85,"High")+COUNTIF('Email Notification'!E2:E82,"High")+COUNTIF('In_App Notification'!E2:E65,"High")</f>
        <v>768</v>
      </c>
      <c r="I17" s="62"/>
      <c r="J17" s="62"/>
      <c r="K17" s="62">
        <f>COUNTIF(Register!E2:E41,"Medium")+COUNTIF(Login!E2:E34,"Medium")+COUNTIF('Forgot Password'!E2:E34,"Medium")+COUNTIF('Supplier Onboarding'!E2:E256,"Medium")+COUNTIF('Buyer Onboarding'!E2:E223,"Medium")+COUNTIF('Supplier Dashboard page'!E2:E109,"Medium")+COUNTIF('Supplier Buyer page'!E2:E115,"Medium")+COUNTIF('Supplier Reports Page'!E2:E75,"Medium")+COUNTIF('Supplier Invoices Page'!E2:E132,"Medium")+COUNTIF('Supplier Admin page '!E2:E84,"Medium")+COUNTIF('Supplier Help and Support Page'!E2:E55,"Medium")+COUNTIF('Supplier Entity'!E2:E305,"Medium")+COUNTIF('Buyer Dashboard'!E2:E83,"Medium")+COUNTIF('Add Supplier Page'!E2:E43,"Medium")+COUNTIF('Buyer Report Page'!E2:E75,"Medium")+COUNTIF('Buyer Help and Support Page'!E2:E55,"Medium")+COUNTIF('Buyer Entity Page'!E2:E258,"Medium")+COUNTIF('Buyer Add Card Page '!E2:E38,"Medium")+COUNTIF('Buyer Payable Page'!E2:E85,"Medium")+COUNTIF('Email Notification'!E2:E82,"Medium")+COUNTIF('In_App Notification'!E2:E65,"Medium")</f>
        <v>1119</v>
      </c>
      <c r="L17" s="62"/>
      <c r="M17" s="62"/>
      <c r="N17" s="62">
        <f>COUNTIF(Register!E2:E41,"Low")+COUNTIF(Login!E2:E34,"Low")+COUNTIF('Forgot Password'!E2:E34,"Low")+COUNTIF('Supplier Onboarding'!E2:E256,"Low")+COUNTIF('Buyer Onboarding'!E2:E223,"Low")+COUNTIF('Supplier Dashboard page'!E2:E109,"Low")+COUNTIF('Supplier Buyer page'!E2:E115,"Low")+COUNTIF('Supplier Reports Page'!E2:E75,"Low")+COUNTIF('Supplier Invoices Page'!E2:E132,"Low")+COUNTIF('Supplier Admin page '!E2:E84,"Low")+COUNTIF('Supplier Help and Support Page'!E2:E55,"Low")+COUNTIF('Supplier Entity'!E2:E305,"Low")+COUNTIF('Buyer Dashboard'!E2:E83,"Low")+COUNTIF('Add Supplier Page'!E2:E43,"Low")+COUNTIF('Buyer Report Page'!E2:E75,"Low")+COUNTIF('Buyer Help and Support Page'!E2:E55,"Low")+COUNTIF('Buyer Entity Page'!E2:E258,"Low")+COUNTIF('Buyer Add Card Page '!E2:E38,"Low")+COUNTIF('Buyer Payable Page'!E2:E85,"Low")+COUNTIF('Email Notification'!E2:E82,"Low")+COUNTIF('In_App Notification'!E2:E65,"Low")</f>
        <v>314</v>
      </c>
      <c r="O17" s="62"/>
      <c r="P17" s="62"/>
    </row>
    <row r="19" spans="2:19" ht="21.75" customHeight="1">
      <c r="B19" s="58" t="s">
        <v>24</v>
      </c>
      <c r="C19" s="58"/>
      <c r="D19" s="58"/>
      <c r="E19" s="58"/>
      <c r="F19" s="58"/>
      <c r="G19" s="58"/>
      <c r="H19" s="58"/>
      <c r="I19" s="58"/>
      <c r="J19" s="58"/>
      <c r="K19" s="58"/>
      <c r="L19" s="58"/>
      <c r="M19" s="58"/>
      <c r="N19" s="58"/>
      <c r="O19" s="58"/>
      <c r="P19" s="58"/>
      <c r="Q19" s="58"/>
      <c r="R19" s="58"/>
      <c r="S19" s="58"/>
    </row>
    <row r="20" spans="2:19" ht="18" customHeight="1">
      <c r="B20" s="1" t="s">
        <v>25</v>
      </c>
      <c r="C20" s="1" t="s">
        <v>26</v>
      </c>
      <c r="D20" s="1" t="s">
        <v>27</v>
      </c>
    </row>
    <row r="21" spans="2:19">
      <c r="B21" s="3" t="s">
        <v>28</v>
      </c>
      <c r="C21" s="4">
        <f>COUNTIF(Register!D2:D41,"Functional - Positive")+COUNTIF(Login!D2:D34,"Functional - Positive")+COUNTIF('Forgot Password'!D2:D34,"Functional - Positive")+COUNTIF('Supplier Onboarding'!D2:D256,"Functional - Positive")+COUNTIF('Buyer Onboarding'!D2:D223,"Functional - Positive")+COUNTIF('Supplier Dashboard page'!D2:D109,"Functional - Positive")+COUNTIF('Supplier Buyer page'!D2:D115,"Functional - Positive")+COUNTIF('Supplier Reports Page'!D2:D75,"Functional - Positive")+COUNTIF('Supplier Invoices Page'!D2:D132,"Functional - Positive")+COUNTIF('Supplier Admin page '!D2:D84,"Functional - Positive")+COUNTIF('Supplier Help and Support Page'!D2:D55,"Functional - Positive")+COUNTIF('Supplier Entity'!D2:D305,"Functional - Positive")+COUNTIF('Buyer Dashboard'!D2:D83,"Functional - Positive")+COUNTIF('Add Supplier Page'!D2:D43,"Functional - Positive")+COUNTIF('Buyer Report Page'!D2:D75,"Functional - Positive")+COUNTIF('Buyer Help and Support Page'!D2:D55,"Functional - Positive")+COUNTIF('Buyer Entity Page'!D2:D258,"Functional - Positive")+COUNTIF('Buyer Add Card Page '!D2:D38,"Functional - Positive")+COUNTIF('Buyer Payable Page'!D2:D85,"Functional - Positive")+COUNTIF('Email Notification'!D2:D82,"Functional - Positive")+COUNTIF('In_App Notification'!D2:D65,"Functional - Positive")</f>
        <v>179</v>
      </c>
      <c r="D21" s="5">
        <f>IFERROR(C21/(COUNTA(Register!D2:D41)+COUNTA(Login!D2:D34)+COUNTA('Forgot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8.1326669695592907E-2</v>
      </c>
    </row>
    <row r="22" spans="2:19">
      <c r="B22" s="3" t="s">
        <v>29</v>
      </c>
      <c r="C22" s="4">
        <f>COUNTIF(Register!D2:D41,"Functional - Negative")+COUNTIF(Login!D2:D34,"Functional - Negative")+COUNTIF('Forgot Password'!D2:D34,"Functional - Negative")+COUNTIF('Supplier Onboarding'!D2:D256,"Functional - Negative")+COUNTIF('Buyer Onboarding'!D2:D223,"Functional - Negative")+COUNTIF('Supplier Dashboard page'!D2:D109,"Functional - Negative")+COUNTIF('Supplier Buyer page'!D2:D115,"Functional - Negative")+COUNTIF('Supplier Reports Page'!D2:D75,"Functional - Negative")+COUNTIF('Supplier Invoices Page'!D2:D132,"Functional - Negative")+COUNTIF('Supplier Admin page '!D2:D84,"Functional - Negative")+COUNTIF('Supplier Help and Support Page'!D2:D55,"Functional - Negative")+COUNTIF('Supplier Entity'!D2:D305,"Functional - Negative")+COUNTIF('Buyer Dashboard'!D2:D83,"Functional - Negative")+COUNTIF('Add Supplier Page'!D2:D43,"Functional - Negative")+COUNTIF('Buyer Report Page'!D2:D75,"Functional - Negative")+COUNTIF('Buyer Help and Support Page'!D2:D55,"Functional - Negative")+COUNTIF('Buyer Entity Page'!D2:D258,"Functional - Negative")+COUNTIF('Buyer Add Card Page '!D2:D38,"Functional - Negative")+COUNTIF('Buyer Payable Page'!D2:D85,"Functional - Negative")+COUNTIF('Email Notification'!D2:D82,"Functional - Negative")+COUNTIF('In_App Notification'!D2:D65,"Functional - Negative")</f>
        <v>11</v>
      </c>
      <c r="D22" s="5">
        <f>IFERROR(C22/(COUNTA(Register!D2:D41)+COUNTA(Login!D2:D34)+COUNTA('Forgot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4.9977283053157656E-3</v>
      </c>
    </row>
    <row r="23" spans="2:19">
      <c r="B23" s="3" t="s">
        <v>30</v>
      </c>
      <c r="C23" s="4">
        <f>COUNTIF(Register!D2:D41,"Validation - Positive")+COUNTIF(Login!D2:D34,"Validation - Positive")+COUNTIF('Forgot Password'!D2:D34,"Validation - Positive")+COUNTIF('Supplier Onboarding'!D2:D256,"Validation - Positive")+COUNTIF('Buyer Onboarding'!D2:D223,"Validation - Positive")+COUNTIF('Supplier Dashboard page'!D2:D109,"Validation - Positive")+COUNTIF('Supplier Buyer page'!D2:D115,"Validation - Positive")+COUNTIF('Supplier Reports Page'!D2:D75,"Validation - Positive")+COUNTIF('Supplier Invoices Page'!D2:D132,"Validation - Positive")+COUNTIF('Supplier Admin page '!D2:D84,"Validation - Positive")+COUNTIF('Supplier Help and Support Page'!D2:D55,"Validation - Positive")+COUNTIF('Supplier Entity'!D2:D305,"Validation - Positive")+COUNTIF('Buyer Dashboard'!D2:D83,"Validation - Positive")+COUNTIF('Add Supplier Page'!D2:D43,"Validation - Positive")+COUNTIF('Buyer Report Page'!D2:D75,"Validation - Positive")+COUNTIF('Buyer Help and Support Page'!D2:D55,"Validation - Positive")+COUNTIF('Buyer Entity Page'!D2:D258,"Validation - Positive")+COUNTIF('Buyer Add Card Page '!D2:D38,"Validation - Positive")+COUNTIF('Buyer Payable Page'!D2:D85,"Validation - Positive")+COUNTIF('Email Notification'!D2:D82,"Validation - Positive")+COUNTIF('In_App Notification'!D2:D65,"Validation - Positive")</f>
        <v>54</v>
      </c>
      <c r="D23" s="5">
        <f>IFERROR(C23/(COUNTA(Register!D2:D41)+COUNTA(Login!D2:D34)+COUNTA('Forgot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2.4534302589731941E-2</v>
      </c>
    </row>
    <row r="24" spans="2:19">
      <c r="B24" s="3" t="s">
        <v>31</v>
      </c>
      <c r="C24" s="4">
        <f>COUNTIF(Register!D2:D41,"Validation - Negative")+COUNTIF(Login!D2:D34,"Validation - Negative")+COUNTIF('Forgot Password'!D2:D34,"Validation - Negative")+COUNTIF('Supplier Onboarding'!D2:D256,"Validation - Negative")+COUNTIF('Buyer Onboarding'!D2:D223,"Validation - Negative")+COUNTIF('Supplier Dashboard page'!D2:D109,"Validation - Negative")+COUNTIF('Supplier Buyer page'!D2:D115,"Validation - Negative")+COUNTIF('Supplier Reports Page'!D2:D75,"Validation - Negative")+COUNTIF('Supplier Invoices Page'!D2:D132,"Validation - Negative")+COUNTIF('Supplier Admin page '!D2:D84,"Validation - Negative")+COUNTIF('Supplier Help and Support Page'!D2:D55,"Validation - Negative")+COUNTIF('Supplier Entity'!D2:D305,"Validation - Negative")+COUNTIF('Buyer Dashboard'!D2:D83,"Validation - Negative")+COUNTIF('Add Supplier Page'!D2:D43,"Validation - Negative")+COUNTIF('Buyer Report Page'!D2:D75,"Validation - Negative")+COUNTIF('Buyer Help and Support Page'!D2:D55,"Validation - Negative")+COUNTIF('Buyer Entity Page'!D2:D258,"Validation - Negative")+COUNTIF('Buyer Add Card Page '!D2:D38,"Validation - Negative")+COUNTIF('Buyer Payable Page'!D2:D85,"Validation - Negative")+COUNTIF('Email Notification'!D2:D82,"Validation - Negative")+COUNTIF('In_App Notification'!D2:D65,"Validation - Negative")</f>
        <v>122</v>
      </c>
      <c r="D24" s="5">
        <f>IFERROR(C24/(COUNTA(Register!D2:D41)+COUNTA(Login!D2:D34)+COUNTA('Forgot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5.5429350295320312E-2</v>
      </c>
    </row>
    <row r="25" spans="2:19">
      <c r="B25" s="3" t="s">
        <v>32</v>
      </c>
      <c r="C25" s="4">
        <f>COUNTIF(Register!D2:D41,"Functionality - Positive")+COUNTIF(Login!D2:D34,"Functionality - Positive")+COUNTIF('Forgot Password'!D2:D34,"Functionality - Positive")+COUNTIF('Supplier Onboarding'!D2:D256,"Functionality - Positive")+COUNTIF('Buyer Onboarding'!D2:D223,"Functionality - Positive")+COUNTIF('Supplier Dashboard page'!D2:D109,"Functionality - Positive")+COUNTIF('Supplier Buyer page'!D2:D115,"Functionality - Positive")+COUNTIF('Supplier Reports Page'!D2:D75,"Functionality - Positive")+COUNTIF('Supplier Invoices Page'!D2:D132,"Functionality - Positive")+COUNTIF('Supplier Admin page '!D2:D84,"Functionality - Positive")+COUNTIF('Supplier Help and Support Page'!D2:D55,"Functionality - Positive")+COUNTIF('Supplier Entity'!D2:D305,"Functionality - Positive")+COUNTIF('Buyer Dashboard'!D2:D83,"Functionality - Positive")+COUNTIF('Add Supplier Page'!D2:D43,"Functionality - Positive")+COUNTIF('Buyer Report Page'!D2:D75,"Functionality - Positive")+COUNTIF('Buyer Help and Support Page'!D2:D55,"Functionality - Positive")+COUNTIF('Buyer Entity Page'!D2:D258,"Functionality - Positive")+COUNTIF('Buyer Add Card Page '!D2:D38,"Functionality - Positive")+COUNTIF('Buyer Payable Page'!D2:D85,"Functionality - Positive")+COUNTIF('Email Notification'!D2:D82,"Functionality - Positive")+COUNTIF('In_App Notification'!D2:D65,"Functionality - Positive")</f>
        <v>33</v>
      </c>
      <c r="D25" s="5">
        <f>IFERROR(C25/(COUNTA(Register!D2:D41)+COUNTA(Login!D2:D34)+COUNTA('Forgot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1.4993184915947297E-2</v>
      </c>
    </row>
    <row r="26" spans="2:19">
      <c r="B26" s="3" t="s">
        <v>33</v>
      </c>
      <c r="C26" s="4">
        <f>COUNTIF(Register!D2:D41,"Functionality - Negative")+COUNTIF(Login!D2:D34,"Functionality - Negative")+COUNTIF('Forgot Password'!D2:D34,"Functionality - Negative")+COUNTIF('Supplier Onboarding'!D2:D256,"Functionality - Negative")+COUNTIF('Buyer Onboarding'!D2:D223,"Functionality - Negative")+COUNTIF('Supplier Dashboard page'!D2:D109,"Functionality - Negative")+COUNTIF('Supplier Buyer page'!D2:D115,"Functionality - Negative")+COUNTIF('Supplier Reports Page'!D2:D75,"Functionality - Negative")+COUNTIF('Supplier Invoices Page'!D2:D132,"Functionality - Negative")+COUNTIF('Supplier Admin page '!D2:D84,"Functionality - Negative")+COUNTIF('Supplier Help and Support Page'!D2:D55,"Functionality - Negative")+COUNTIF('Supplier Entity'!D2:D305,"Functionality - Negative")+COUNTIF('Buyer Dashboard'!D2:D83,"Functionality - Negative")+COUNTIF('Add Supplier Page'!D2:D43,"Functionality - Negative")+COUNTIF('Buyer Report Page'!D2:D75,"Functionality - Negative")+COUNTIF('Buyer Help and Support Page'!D2:D55,"Functionality - Negative")+COUNTIF('Buyer Entity Page'!D2:D258,"Functionality - Negative")+COUNTIF('Buyer Add Card Page '!D2:D38,"Functionality - Negative")+COUNTIF('Buyer Payable Page'!D2:D85,"Functionality - Negative")+COUNTIF('Email Notification'!D2:D82,"Functionality - Negative")+COUNTIF('In_App Notification'!D2:D65,"Functionality - Negative")</f>
        <v>6</v>
      </c>
      <c r="D26" s="5">
        <f>IFERROR(C26/(COUNTA(Register!D2:D41)+COUNTA(Login!D2:D34)+COUNTA('Forgot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2.7260336210813267E-3</v>
      </c>
    </row>
    <row r="27" spans="2:19">
      <c r="B27" s="3" t="s">
        <v>34</v>
      </c>
      <c r="C27" s="4">
        <f>COUNTIF(Register!D2:D41,"Calculation - Positive")+COUNTIF(Login!D2:D34,"Calculation - Positive")+COUNTIF('Forgot Password'!D2:D34,"Calculation - Positive")+COUNTIF('Supplier Onboarding'!D2:D256,"Calculation - Positive")+COUNTIF('Buyer Onboarding'!D2:D223,"Calculation - Positive")+COUNTIF('Supplier Dashboard page'!D2:D109,"Calculation - Positive")+COUNTIF('Supplier Buyer page'!D2:D115,"Calculation - Positive")+COUNTIF('Supplier Reports Page'!D2:D75,"Calculation - Positive")+COUNTIF('Supplier Invoices Page'!D2:D132,"Calculation - Positive")+COUNTIF('Supplier Admin page '!D2:D84,"Calculation - Positive")+COUNTIF('Supplier Help and Support Page'!D2:D55,"Calculation - Positive")+COUNTIF('Supplier Entity'!D2:D305,"Calculation - Positive")+COUNTIF('Buyer Dashboard'!D2:D83,"Calculation - Positive")+COUNTIF('Add Supplier Page'!D2:D43,"Calculation - Positive")+COUNTIF('Buyer Report Page'!D2:D75,"Calculation - Positive")+COUNTIF('Buyer Help and Support Page'!D2:D55,"Calculation - Positive")+COUNTIF('Buyer Entity Page'!D2:D258,"Calculation - Positive")+COUNTIF('Buyer Add Card Page '!D2:D38,"Calculation - Positive")+COUNTIF('Buyer Payable Page'!D2:D85,"Calculation - Positive")+COUNTIF('Email Notification'!D2:D82,"Calculation - Positive")+COUNTIF('In_App Notification'!D2:D65,"Calculation - Positive")</f>
        <v>16</v>
      </c>
      <c r="D27" s="5">
        <f>IFERROR(C27/(COUNTA(Register!D2:D41)+COUNTA(Login!D2:D34)+COUNTA('Forgot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7.2694229895502041E-3</v>
      </c>
    </row>
    <row r="28" spans="2:19">
      <c r="B28" s="3" t="s">
        <v>35</v>
      </c>
      <c r="C28" s="4">
        <f>COUNTIF(Register!D2:D41,"Calculation - Negative")+COUNTIF(Login!D2:D34,"Calculation - Negative")+COUNTIF('Forgot Password'!D2:D34,"Calculation - Negative")+COUNTIF('Supplier Onboarding'!D2:D256,"Calculation - Negative")+COUNTIF('Buyer Onboarding'!D2:D223,"Calculation - Negative")+COUNTIF('Supplier Dashboard page'!D2:D109,"Calculation - Negative")+COUNTIF('Supplier Buyer page'!D2:D115,"Calculation - Negative")+COUNTIF('Supplier Reports Page'!D2:D75,"Calculation - Negative")+COUNTIF('Supplier Invoices Page'!D2:D132,"Calculation - Negative")+COUNTIF('Supplier Admin page '!D2:D84,"Calculation - Negative")+COUNTIF('Supplier Help and Support Page'!D2:D55,"Calculation - Negative")+COUNTIF('Supplier Entity'!D2:D305,"Calculation - Negative")+COUNTIF('Buyer Dashboard'!D2:D83,"Calculation - Negative")+COUNTIF('Add Supplier Page'!D2:D43,"Calculation - Negative")+COUNTIF('Buyer Report Page'!D2:D75,"Calculation - Negative")+COUNTIF('Buyer Help and Support Page'!D2:D55,"Calculation - Negative")+COUNTIF('Buyer Entity Page'!D2:D258,"Calculation - Negative")+COUNTIF('Buyer Add Card Page '!D2:D38,"Calculation - Negative")+COUNTIF('Buyer Payable Page'!D2:D85,"Calculation - Negative")+COUNTIF('Email Notification'!D2:D82,"Calculation - Negative")+COUNTIF('In_App Notification'!D2:D65,"Calculation - Negative")</f>
        <v>5</v>
      </c>
      <c r="D28" s="5">
        <f>IFERROR(C28/(COUNTA(Register!D2:D41)+COUNTA(Login!D2:D34)+COUNTA('Forgot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2.271694684234439E-3</v>
      </c>
    </row>
    <row r="29" spans="2:19">
      <c r="B29" s="3" t="s">
        <v>36</v>
      </c>
      <c r="C29" s="4">
        <f>COUNTIF(Register!D2:D41,"Positive")+COUNTIF(Login!D2:D34,"Positive")+COUNTIF('Forgot Password'!D2:D34,"Positive")+COUNTIF('Supplier Onboarding'!D2:D256,"Positive")+COUNTIF('Buyer Onboarding'!D2:D223,"Positive")+COUNTIF('Supplier Dashboard page'!D2:D109,"Positive")+COUNTIF('Supplier Buyer page'!D2:D115,"Positive")+COUNTIF('Supplier Reports Page'!D2:D75,"Positive")+COUNTIF('Supplier Invoices Page'!D2:D132,"Positive")+COUNTIF('Supplier Admin page '!D2:D84,"Positive")+COUNTIF('Supplier Help and Support Page'!D2:D55,"Positive")+COUNTIF('Supplier Entity'!D2:D305,"Positive")+COUNTIF('Buyer Dashboard'!D2:D83,"Positive")+COUNTIF('Add Supplier Page'!D2:D43,"Positive")+COUNTIF('Buyer Report Page'!D2:D75,"Positive")+COUNTIF('Buyer Help and Support Page'!D2:D55,"Positive")+COUNTIF('Buyer Entity Page'!D2:D258,"Positive")+COUNTIF('Buyer Add Card Page '!D2:D38,"Positive")+COUNTIF('Buyer Payable Page'!D2:D85,"Positive")+COUNTIF('Email Notification'!D2:D82,"Positive")+COUNTIF('In_App Notification'!D2:D65,"Positive")</f>
        <v>790</v>
      </c>
      <c r="D29" s="5">
        <f>IFERROR(C29/(COUNTA(Register!D2:D41)+COUNTA(Login!D2:D34)+COUNTA('Forgot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0.35892776010904137</v>
      </c>
    </row>
    <row r="30" spans="2:19">
      <c r="B30" s="3" t="s">
        <v>37</v>
      </c>
      <c r="C30" s="4">
        <f>COUNTIF(Register!D2:D41,"Negative")+COUNTIF(Login!D2:D34,"Negative")+COUNTIF('Forgot Password'!D2:D34,"Negative")+COUNTIF('Supplier Onboarding'!D2:D256,"Negative")+COUNTIF('Buyer Onboarding'!D2:D223,"Negative")+COUNTIF('Supplier Dashboard page'!D2:D109,"Negative")+COUNTIF('Supplier Buyer page'!D2:D115,"Negative")+COUNTIF('Supplier Reports Page'!D2:D75,"Negative")+COUNTIF('Supplier Invoices Page'!D2:D132,"Negative")+COUNTIF('Supplier Admin page '!D2:D84,"Negative")+COUNTIF('Supplier Help and Support Page'!D2:D55,"Negative")+COUNTIF('Supplier Entity'!D2:D305,"Negative")+COUNTIF('Buyer Dashboard'!D2:D83,"Negative")+COUNTIF('Add Supplier Page'!D2:D43,"Negative")+COUNTIF('Buyer Report Page'!D2:D75,"Negative")+COUNTIF('Buyer Help and Support Page'!D2:D55,"Negative")+COUNTIF('Buyer Entity Page'!D2:D258,"Negative")+COUNTIF('Buyer Add Card Page '!D2:D38,"Negative")+COUNTIF('Buyer Payable Page'!D2:D85,"Negative")+COUNTIF('Email Notification'!D2:D82,"Negative")+COUNTIF('In_App Notification'!D2:D65,"Negative")</f>
        <v>976</v>
      </c>
      <c r="D30" s="5">
        <f>IFERROR(C30/(COUNTA(Register!D2:D41)+COUNTA(Login!D2:D34)+COUNTA('Forgot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0.4434348023625625</v>
      </c>
    </row>
    <row r="31" spans="2:19">
      <c r="B31" s="3" t="s">
        <v>38</v>
      </c>
      <c r="C31" s="4">
        <f>COUNTIF(Register!D2:D41,"Defect - Functional")+COUNTIF(Login!D2:D34,"Defect - Functional")+COUNTIF('Forgot Password'!D2:D34,"Defect - Functional")+COUNTIF('Supplier Onboarding'!D2:D256,"Defect - Functional")+COUNTIF('Buyer Onboarding'!D2:D223,"Defect - Functional")+COUNTIF('Supplier Dashboard page'!D2:D109,"Defect - Functional")+COUNTIF('Supplier Buyer page'!D2:D115,"Defect - Functional")+COUNTIF('Supplier Reports Page'!D2:D75,"Defect - Functional")+COUNTIF('Supplier Invoices Page'!D2:D132,"Defect - Functional")+COUNTIF('Supplier Admin page '!D2:D84,"Defect - Functional")+COUNTIF('Supplier Help and Support Page'!D2:D55,"Defect - Functional")+COUNTIF('Supplier Entity'!D2:D305,"Defect - Functional")+COUNTIF('Buyer Dashboard'!D2:D83,"Defect - Functional")+COUNTIF('Add Supplier Page'!D2:D43,"Defect - Functional")+COUNTIF('Buyer Report Page'!D2:D75,"Defect - Functional")+COUNTIF('Buyer Help and Support Page'!D2:D55,"Defect - Functional")+COUNTIF('Buyer Entity Page'!D2:D258,"Defect - Functional")+COUNTIF('Buyer Add Card Page '!D2:D38,"Defect - Functional")+COUNTIF('Buyer Payable Page'!D2:D85,"Defect - Functional")+COUNTIF('Email Notification'!D2:D82,"Defect - Functional")+COUNTIF('In_App Notification'!D2:D65,"Defect - Functional")</f>
        <v>2</v>
      </c>
      <c r="D31" s="5">
        <f>IFERROR(C31/(COUNTA(Register!D2:D41)+COUNTA(Login!D2:D34)+COUNTA('Forgot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9.0867787369377552E-4</v>
      </c>
    </row>
    <row r="32" spans="2:19">
      <c r="B32" s="3" t="s">
        <v>39</v>
      </c>
      <c r="C32" s="4">
        <f>COUNTIF(Register!D2:D41,"Defect - Validation")+COUNTIF(Login!D2:D34,"Defect - Validation")+COUNTIF('Forgot Password'!D2:D34,"Defect - Validation")+COUNTIF('Supplier Onboarding'!D2:D256,"Defect - Validation")+COUNTIF('Buyer Onboarding'!D2:D223,"Defect - Validation")+COUNTIF('Supplier Dashboard page'!D2:D109,"Defect - Validation")+COUNTIF('Supplier Buyer page'!D2:D115,"Defect - Validation")+COUNTIF('Supplier Reports Page'!D2:D75,"Defect - Validation")+COUNTIF('Supplier Invoices Page'!D2:D132,"Defect - Validation")+COUNTIF('Supplier Admin page '!D2:D84,"Defect - Validation")+COUNTIF('Supplier Help and Support Page'!D2:D55,"Defect - Validation")+COUNTIF('Supplier Entity'!D2:D305,"Defect - Validation")+COUNTIF('Buyer Dashboard'!D2:D83,"Defect - Validation")+COUNTIF('Add Supplier Page'!D2:D43,"Defect - Validation")+COUNTIF('Buyer Report Page'!D2:D75,"Defect - Validation")+COUNTIF('Buyer Help and Support Page'!D2:D55,"Defect - Validation")+COUNTIF('Buyer Entity Page'!D2:D258,"Defect - Validation")+COUNTIF('Buyer Add Card Page '!D2:D38,"Defect - Validation")+COUNTIF('Buyer Payable Page'!D2:D85,"Defect - Validation")+COUNTIF('Email Notification'!D2:D82,"Defect - Validation")+COUNTIF('In_App Notification'!D2:D65,"Defect - Validation")</f>
        <v>7</v>
      </c>
      <c r="D32" s="5">
        <f>IFERROR(C32/(COUNTA(Register!D2:D41)+COUNTA(Login!D2:D34)+COUNTA('Forgot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Notification'!D2:D65)),0)</f>
        <v>3.1803725579282144E-3</v>
      </c>
    </row>
    <row r="35" spans="2:19" ht="21.75" customHeight="1">
      <c r="B35" s="58" t="s">
        <v>40</v>
      </c>
      <c r="C35" s="58"/>
      <c r="D35" s="58"/>
      <c r="E35" s="58"/>
      <c r="F35" s="58"/>
      <c r="G35" s="58"/>
      <c r="H35" s="58"/>
      <c r="I35" s="58"/>
      <c r="J35" s="58"/>
      <c r="K35" s="58"/>
      <c r="L35" s="58"/>
      <c r="M35" s="58"/>
      <c r="N35" s="58"/>
      <c r="O35" s="58"/>
      <c r="P35" s="58"/>
      <c r="Q35" s="58"/>
      <c r="R35" s="58"/>
      <c r="S35" s="58"/>
    </row>
    <row r="36" spans="2:19" ht="31.5" customHeight="1">
      <c r="B36" s="6" t="s">
        <v>41</v>
      </c>
      <c r="C36" s="6" t="s">
        <v>42</v>
      </c>
      <c r="D36" s="6" t="s">
        <v>43</v>
      </c>
      <c r="E36" s="6" t="s">
        <v>44</v>
      </c>
      <c r="F36" s="6" t="s">
        <v>45</v>
      </c>
      <c r="G36" s="6" t="s">
        <v>46</v>
      </c>
      <c r="H36" s="6" t="s">
        <v>47</v>
      </c>
      <c r="I36" s="6" t="s">
        <v>48</v>
      </c>
      <c r="J36" s="6" t="s">
        <v>49</v>
      </c>
      <c r="K36" s="6" t="s">
        <v>50</v>
      </c>
      <c r="L36" s="6" t="s">
        <v>51</v>
      </c>
      <c r="M36" s="6" t="s">
        <v>52</v>
      </c>
      <c r="N36" s="6" t="s">
        <v>53</v>
      </c>
    </row>
    <row r="37" spans="2:19">
      <c r="B37" s="3" t="s">
        <v>54</v>
      </c>
      <c r="C37" s="4">
        <f>COUNTA(Register!D2:D41)</f>
        <v>40</v>
      </c>
      <c r="D37" s="4">
        <f>COUNTIF(Register!D2:D41,"*Positive*")</f>
        <v>18</v>
      </c>
      <c r="E37" s="4">
        <f>COUNTIF(Register!D2:D41,"*Negative*")</f>
        <v>22</v>
      </c>
      <c r="F37" s="4">
        <f>COUNTIF(Register!E2:E41,"High")</f>
        <v>19</v>
      </c>
      <c r="G37" s="4">
        <f>COUNTIF(Register!E2:E41,"Medium")</f>
        <v>11</v>
      </c>
      <c r="H37" s="4">
        <f>COUNTIF(Register!E2:E41,"Low")</f>
        <v>10</v>
      </c>
      <c r="I37" s="4">
        <f>COUNTIF(Register!J2:J41,"Pass")</f>
        <v>0</v>
      </c>
      <c r="J37" s="4">
        <f>COUNTIF(Register!J2:J41,"Fail")</f>
        <v>0</v>
      </c>
      <c r="K37" s="4">
        <f>COUNTIF(Register!J2:J41,"Blocked")</f>
        <v>0</v>
      </c>
      <c r="L37" s="4">
        <f>C37-I37-J37-K37</f>
        <v>40</v>
      </c>
      <c r="M37" s="5">
        <f>IFERROR(I37/(I37+J37),0)</f>
        <v>0</v>
      </c>
      <c r="N37" s="5">
        <f>IFERROR((I37+J37+K37)/C37,0)</f>
        <v>0</v>
      </c>
    </row>
    <row r="38" spans="2:19">
      <c r="B38" s="3" t="s">
        <v>55</v>
      </c>
      <c r="C38" s="4">
        <f>COUNTA(Login!D2:D34)</f>
        <v>33</v>
      </c>
      <c r="D38" s="4">
        <f>COUNTIF(Login!D2:D34,"*Positive*")</f>
        <v>16</v>
      </c>
      <c r="E38" s="4">
        <f>COUNTIF(Login!D2:D34,"*Negative*")</f>
        <v>17</v>
      </c>
      <c r="F38" s="4">
        <f>COUNTIF(Login!E2:E34,"High")</f>
        <v>18</v>
      </c>
      <c r="G38" s="4">
        <f>COUNTIF(Login!E2:E34,"Medium")</f>
        <v>10</v>
      </c>
      <c r="H38" s="4">
        <f>COUNTIF(Login!E2:E34,"Low")</f>
        <v>5</v>
      </c>
      <c r="I38" s="4">
        <f>COUNTIF(Login!J2:J34,"Pass")</f>
        <v>28</v>
      </c>
      <c r="J38" s="4">
        <f>COUNTIF(Login!J2:J34,"Fail")</f>
        <v>5</v>
      </c>
      <c r="K38" s="4">
        <f>COUNTIF(Login!J2:J34,"Blocked")</f>
        <v>0</v>
      </c>
      <c r="L38" s="4">
        <f>C38-I38-J38-K38</f>
        <v>0</v>
      </c>
      <c r="M38" s="5">
        <f>IFERROR(I38/(I38+J38),0)</f>
        <v>0.84848484848484851</v>
      </c>
      <c r="N38" s="5">
        <f>IFERROR((I38+J38+K38)/C38,0)</f>
        <v>1</v>
      </c>
    </row>
    <row r="39" spans="2:19">
      <c r="B39" s="3" t="s">
        <v>56</v>
      </c>
      <c r="C39" s="4">
        <f>COUNTA('Forgot Password'!D2:D34)</f>
        <v>33</v>
      </c>
      <c r="D39" s="4">
        <f>COUNTIF('Forgot Password'!D2:D34,"*Positive*")</f>
        <v>13</v>
      </c>
      <c r="E39" s="4">
        <f>COUNTIF('Forgot Password'!D2:D34,"*Negative*")</f>
        <v>20</v>
      </c>
      <c r="F39" s="4">
        <f>COUNTIF('Forgot Password'!E2:E34,"High")</f>
        <v>15</v>
      </c>
      <c r="G39" s="4">
        <f>COUNTIF('Forgot Password'!E2:E34,"Medium")</f>
        <v>10</v>
      </c>
      <c r="H39" s="4">
        <f>COUNTIF('Forgot Password'!E2:E34,"Low")</f>
        <v>8</v>
      </c>
      <c r="I39" s="4">
        <f>COUNTIF('Forgot Password'!J2:J34,"Pass")</f>
        <v>0</v>
      </c>
      <c r="J39" s="4">
        <f>COUNTIF('Forgot Password'!J2:J34,"Fail")</f>
        <v>0</v>
      </c>
      <c r="K39" s="4">
        <f>COUNTIF('Forgot Password'!J2:J34,"Blocked")</f>
        <v>0</v>
      </c>
      <c r="L39" s="4">
        <f>C39-I39-J39-K39</f>
        <v>33</v>
      </c>
      <c r="M39" s="5">
        <f>IFERROR(I39/(I39+J39),0)</f>
        <v>0</v>
      </c>
      <c r="N39" s="5">
        <f>IFERROR((I39+J39+K39)/C39,0)</f>
        <v>0</v>
      </c>
    </row>
    <row r="40" spans="2:19">
      <c r="B40" s="3" t="s">
        <v>57</v>
      </c>
      <c r="C40" s="4">
        <f>COUNTA('Supplier Onboarding'!D2:D256)</f>
        <v>255</v>
      </c>
      <c r="D40" s="4">
        <f>COUNTIF('Supplier Onboarding'!D2:D256,"*Positive*")</f>
        <v>89</v>
      </c>
      <c r="E40" s="4">
        <f>COUNTIF('Supplier Onboarding'!D2:D256,"*Negative*")</f>
        <v>166</v>
      </c>
      <c r="F40" s="4">
        <f>COUNTIF('Supplier Onboarding'!E2:E256,"High")</f>
        <v>43</v>
      </c>
      <c r="G40" s="4">
        <f>COUNTIF('Supplier Onboarding'!E2:E256,"Medium")</f>
        <v>166</v>
      </c>
      <c r="H40" s="4">
        <f>COUNTIF('Supplier Onboarding'!E2:E256,"Low")</f>
        <v>46</v>
      </c>
      <c r="I40" s="4">
        <f>COUNTIF('Supplier Onboarding'!J2:J256,"Pass")</f>
        <v>0</v>
      </c>
      <c r="J40" s="4">
        <f>COUNTIF('Supplier Onboarding'!J2:J256,"Fail")</f>
        <v>0</v>
      </c>
      <c r="K40" s="4">
        <f>COUNTIF('Supplier Onboarding'!J2:J256,"Blocked")</f>
        <v>0</v>
      </c>
      <c r="L40" s="4">
        <f>C40-I40-J40-K40</f>
        <v>255</v>
      </c>
      <c r="M40" s="5">
        <f>IFERROR(I40/(I40+J40),0)</f>
        <v>0</v>
      </c>
      <c r="N40" s="5">
        <f>IFERROR((I40+J40+K40)/C40,0)</f>
        <v>0</v>
      </c>
    </row>
    <row r="41" spans="2:19">
      <c r="B41" s="3" t="s">
        <v>58</v>
      </c>
      <c r="C41" s="4">
        <f>COUNTA('Buyer Onboarding'!D2:D223)</f>
        <v>222</v>
      </c>
      <c r="D41" s="4">
        <f>COUNTIF('Buyer Onboarding'!D2:D223,"*Positive*")</f>
        <v>81</v>
      </c>
      <c r="E41" s="4">
        <f>COUNTIF('Buyer Onboarding'!D2:D223,"*Negative*")</f>
        <v>141</v>
      </c>
      <c r="F41" s="4">
        <f>COUNTIF('Buyer Onboarding'!E2:E223,"High")</f>
        <v>41</v>
      </c>
      <c r="G41" s="4">
        <f>COUNTIF('Buyer Onboarding'!E2:E223,"Medium")</f>
        <v>141</v>
      </c>
      <c r="H41" s="4">
        <f>COUNTIF('Buyer Onboarding'!E2:E223,"Low")</f>
        <v>40</v>
      </c>
      <c r="I41" s="4">
        <f>COUNTIF('Buyer Onboarding'!J2:J223,"Pass")</f>
        <v>0</v>
      </c>
      <c r="J41" s="4">
        <f>COUNTIF('Buyer Onboarding'!J2:J223,"Fail")</f>
        <v>0</v>
      </c>
      <c r="K41" s="4">
        <f>COUNTIF('Buyer Onboarding'!J2:J223,"Blocked")</f>
        <v>0</v>
      </c>
      <c r="L41" s="4">
        <f>C41-I41-J41-K41</f>
        <v>222</v>
      </c>
      <c r="M41" s="5">
        <f>IFERROR(I41/(I41+J41),0)</f>
        <v>0</v>
      </c>
      <c r="N41" s="5">
        <f>IFERROR((I41+J41+K41)/C41,0)</f>
        <v>0</v>
      </c>
    </row>
    <row r="42" spans="2:19">
      <c r="B42" s="3" t="s">
        <v>59</v>
      </c>
      <c r="C42" s="4">
        <f>COUNTA('Supplier Dashboard page'!D2:D109)</f>
        <v>108</v>
      </c>
      <c r="D42" s="4">
        <f>COUNTIF('Supplier Dashboard page'!D2:D109,"*Positive*")</f>
        <v>79</v>
      </c>
      <c r="E42" s="4">
        <f>COUNTIF('Supplier Dashboard page'!D2:D109,"*Negative*")</f>
        <v>29</v>
      </c>
      <c r="F42" s="4">
        <f>COUNTIF('Supplier Dashboard page'!E2:E109,"High")</f>
        <v>57</v>
      </c>
      <c r="G42" s="4">
        <f>COUNTIF('Supplier Dashboard page'!E2:E109,"Medium")</f>
        <v>44</v>
      </c>
      <c r="H42" s="4">
        <f>COUNTIF('Supplier Dashboard page'!E2:E109,"Low")</f>
        <v>7</v>
      </c>
      <c r="I42" s="4">
        <f>COUNTIF('Supplier Dashboard page'!J2:J109,"Pass")</f>
        <v>0</v>
      </c>
      <c r="J42" s="4">
        <f>COUNTIF('Supplier Dashboard page'!J2:J109,"Fail")</f>
        <v>0</v>
      </c>
      <c r="K42" s="4">
        <f>COUNTIF('Supplier Dashboard page'!J2:J109,"Blocked")</f>
        <v>0</v>
      </c>
      <c r="L42" s="4">
        <f>C42-I42-J42-K42</f>
        <v>108</v>
      </c>
      <c r="M42" s="5">
        <f>IFERROR(I42/(I42+J42),0)</f>
        <v>0</v>
      </c>
      <c r="N42" s="5">
        <f>IFERROR((I42+J42+K42)/C42,0)</f>
        <v>0</v>
      </c>
    </row>
    <row r="43" spans="2:19">
      <c r="B43" s="3" t="s">
        <v>60</v>
      </c>
      <c r="C43" s="4">
        <f>COUNTA('Supplier Buyer page'!D2:D115)</f>
        <v>114</v>
      </c>
      <c r="D43" s="4">
        <f>COUNTIF('Supplier Buyer page'!D2:D115,"*Positive*")</f>
        <v>48</v>
      </c>
      <c r="E43" s="4">
        <f>COUNTIF('Supplier Buyer page'!D2:D115,"*Negative*")</f>
        <v>66</v>
      </c>
      <c r="F43" s="4">
        <f>COUNTIF('Supplier Buyer page'!E2:E115,"High")</f>
        <v>43</v>
      </c>
      <c r="G43" s="4">
        <f>COUNTIF('Supplier Buyer page'!E2:E115,"Medium")</f>
        <v>54</v>
      </c>
      <c r="H43" s="4">
        <f>COUNTIF('Supplier Buyer page'!E2:E115,"Low")</f>
        <v>17</v>
      </c>
      <c r="I43" s="4">
        <f>COUNTIF('Supplier Buyer page'!J2:J115,"Pass")</f>
        <v>0</v>
      </c>
      <c r="J43" s="4">
        <f>COUNTIF('Supplier Buyer page'!J2:J115,"Fail")</f>
        <v>0</v>
      </c>
      <c r="K43" s="4">
        <f>COUNTIF('Supplier Buyer page'!J2:J115,"Blocked")</f>
        <v>0</v>
      </c>
      <c r="L43" s="4">
        <f>C43-I43-J43-K43</f>
        <v>114</v>
      </c>
      <c r="M43" s="5">
        <f>IFERROR(I43/(I43+J43),0)</f>
        <v>0</v>
      </c>
      <c r="N43" s="5">
        <f>IFERROR((I43+J43+K43)/C43,0)</f>
        <v>0</v>
      </c>
    </row>
    <row r="44" spans="2:19">
      <c r="B44" s="3" t="s">
        <v>61</v>
      </c>
      <c r="C44" s="4">
        <f>COUNTA('Supplier Reports Page'!D2:D75)</f>
        <v>74</v>
      </c>
      <c r="D44" s="4">
        <f>COUNTIF('Supplier Reports Page'!D2:D75,"*Positive*")</f>
        <v>40</v>
      </c>
      <c r="E44" s="4">
        <f>COUNTIF('Supplier Reports Page'!D2:D75,"*Negative*")</f>
        <v>34</v>
      </c>
      <c r="F44" s="4">
        <f>COUNTIF('Supplier Reports Page'!E2:E75,"High")</f>
        <v>34</v>
      </c>
      <c r="G44" s="4">
        <f>COUNTIF('Supplier Reports Page'!E2:E75,"Medium")</f>
        <v>33</v>
      </c>
      <c r="H44" s="4">
        <f>COUNTIF('Supplier Reports Page'!E2:E75,"Low")</f>
        <v>7</v>
      </c>
      <c r="I44" s="4">
        <f>COUNTIF('Supplier Reports Page'!J2:J75,"Pass")</f>
        <v>0</v>
      </c>
      <c r="J44" s="4">
        <f>COUNTIF('Supplier Reports Page'!J2:J75,"Fail")</f>
        <v>0</v>
      </c>
      <c r="K44" s="4">
        <f>COUNTIF('Supplier Reports Page'!J2:J75,"Blocked")</f>
        <v>0</v>
      </c>
      <c r="L44" s="4">
        <f>C44-I44-J44-K44</f>
        <v>74</v>
      </c>
      <c r="M44" s="5">
        <f>IFERROR(I44/(I44+J44),0)</f>
        <v>0</v>
      </c>
      <c r="N44" s="5">
        <f>IFERROR((I44+J44+K44)/C44,0)</f>
        <v>0</v>
      </c>
    </row>
    <row r="45" spans="2:19">
      <c r="B45" s="3" t="s">
        <v>62</v>
      </c>
      <c r="C45" s="4">
        <f>COUNTA('Supplier Invoices Page'!D2:D132)</f>
        <v>131</v>
      </c>
      <c r="D45" s="4">
        <f>COUNTIF('Supplier Invoices Page'!D2:D132,"*Positive*")</f>
        <v>90</v>
      </c>
      <c r="E45" s="4">
        <f>COUNTIF('Supplier Invoices Page'!D2:D132,"*Negative*")</f>
        <v>41</v>
      </c>
      <c r="F45" s="4">
        <f>COUNTIF('Supplier Invoices Page'!E2:E132,"High")</f>
        <v>56</v>
      </c>
      <c r="G45" s="4">
        <f>COUNTIF('Supplier Invoices Page'!E2:E132,"Medium")</f>
        <v>58</v>
      </c>
      <c r="H45" s="4">
        <f>COUNTIF('Supplier Invoices Page'!E2:E132,"Low")</f>
        <v>17</v>
      </c>
      <c r="I45" s="4">
        <f>COUNTIF('Supplier Invoices Page'!J2:J132,"Pass")</f>
        <v>0</v>
      </c>
      <c r="J45" s="4">
        <f>COUNTIF('Supplier Invoices Page'!J2:J132,"Fail")</f>
        <v>0</v>
      </c>
      <c r="K45" s="4">
        <f>COUNTIF('Supplier Invoices Page'!J2:J132,"Blocked")</f>
        <v>0</v>
      </c>
      <c r="L45" s="4">
        <f>C45-I45-J45-K45</f>
        <v>131</v>
      </c>
      <c r="M45" s="5">
        <f>IFERROR(I45/(I45+J45),0)</f>
        <v>0</v>
      </c>
      <c r="N45" s="5">
        <f>IFERROR((I45+J45+K45)/C45,0)</f>
        <v>0</v>
      </c>
    </row>
    <row r="46" spans="2:19">
      <c r="B46" s="3" t="s">
        <v>63</v>
      </c>
      <c r="C46" s="4">
        <f>COUNTA('Supplier Admin page '!D2:D84)</f>
        <v>83</v>
      </c>
      <c r="D46" s="4">
        <f>COUNTIF('Supplier Admin page '!D2:D84,"*Positive*")</f>
        <v>48</v>
      </c>
      <c r="E46" s="4">
        <f>COUNTIF('Supplier Admin page '!D2:D84,"*Negative*")</f>
        <v>35</v>
      </c>
      <c r="F46" s="4">
        <f>COUNTIF('Supplier Admin page '!E2:E84,"High")</f>
        <v>44</v>
      </c>
      <c r="G46" s="4">
        <f>COUNTIF('Supplier Admin page '!E2:E84,"Medium")</f>
        <v>33</v>
      </c>
      <c r="H46" s="4">
        <f>COUNTIF('Supplier Admin page '!E2:E84,"Low")</f>
        <v>6</v>
      </c>
      <c r="I46" s="4">
        <f>COUNTIF('Supplier Admin page '!J2:J84,"Pass")</f>
        <v>0</v>
      </c>
      <c r="J46" s="4">
        <f>COUNTIF('Supplier Admin page '!J2:J84,"Fail")</f>
        <v>0</v>
      </c>
      <c r="K46" s="4">
        <f>COUNTIF('Supplier Admin page '!J2:J84,"Blocked")</f>
        <v>0</v>
      </c>
      <c r="L46" s="4">
        <f>C46-I46-J46-K46</f>
        <v>83</v>
      </c>
      <c r="M46" s="5">
        <f>IFERROR(I46/(I46+J46),0)</f>
        <v>0</v>
      </c>
      <c r="N46" s="5">
        <f>IFERROR((I46+J46+K46)/C46,0)</f>
        <v>0</v>
      </c>
    </row>
    <row r="47" spans="2:19">
      <c r="B47" s="3" t="s">
        <v>64</v>
      </c>
      <c r="C47" s="4">
        <f>COUNTA('Supplier Help and Support Page'!D2:D55)</f>
        <v>54</v>
      </c>
      <c r="D47" s="4">
        <f>COUNTIF('Supplier Help and Support Page'!D2:D55,"*Positive*")</f>
        <v>37</v>
      </c>
      <c r="E47" s="4">
        <f>COUNTIF('Supplier Help and Support Page'!D2:D55,"*Negative*")</f>
        <v>17</v>
      </c>
      <c r="F47" s="4">
        <f>COUNTIF('Supplier Help and Support Page'!E2:E55,"High")</f>
        <v>33</v>
      </c>
      <c r="G47" s="4">
        <f>COUNTIF('Supplier Help and Support Page'!E2:E55,"Medium")</f>
        <v>13</v>
      </c>
      <c r="H47" s="4">
        <f>COUNTIF('Supplier Help and Support Page'!E2:E55,"Low")</f>
        <v>8</v>
      </c>
      <c r="I47" s="4">
        <f>COUNTIF('Supplier Help and Support Page'!J2:J55,"Pass")</f>
        <v>0</v>
      </c>
      <c r="J47" s="4">
        <f>COUNTIF('Supplier Help and Support Page'!J2:J55,"Fail")</f>
        <v>0</v>
      </c>
      <c r="K47" s="4">
        <f>COUNTIF('Supplier Help and Support Page'!J2:J55,"Blocked")</f>
        <v>0</v>
      </c>
      <c r="L47" s="4">
        <f>C47-I47-J47-K47</f>
        <v>54</v>
      </c>
      <c r="M47" s="5">
        <f>IFERROR(I47/(I47+J47),0)</f>
        <v>0</v>
      </c>
      <c r="N47" s="5">
        <f>IFERROR((I47+J47+K47)/C47,0)</f>
        <v>0</v>
      </c>
    </row>
    <row r="48" spans="2:19">
      <c r="B48" s="3" t="s">
        <v>65</v>
      </c>
      <c r="C48" s="4">
        <f>COUNTA('Supplier Entity'!D2:D305)</f>
        <v>288</v>
      </c>
      <c r="D48" s="4">
        <f>COUNTIF('Supplier Entity'!D2:D305,"*Positive*")</f>
        <v>108</v>
      </c>
      <c r="E48" s="4">
        <f>COUNTIF('Supplier Entity'!D2:D305,"*Negative*")</f>
        <v>175</v>
      </c>
      <c r="F48" s="4">
        <f>COUNTIF('Supplier Entity'!E2:E305,"High")</f>
        <v>50</v>
      </c>
      <c r="G48" s="4">
        <f>COUNTIF('Supplier Entity'!E2:E305,"Medium")</f>
        <v>187</v>
      </c>
      <c r="H48" s="4">
        <f>COUNTIF('Supplier Entity'!E2:E305,"Low")</f>
        <v>51</v>
      </c>
      <c r="I48" s="4">
        <f>COUNTIF('Supplier Entity'!J2:J305,"Pass")</f>
        <v>0</v>
      </c>
      <c r="J48" s="4">
        <f>COUNTIF('Supplier Entity'!J2:J305,"Fail")</f>
        <v>0</v>
      </c>
      <c r="K48" s="4">
        <f>COUNTIF('Supplier Entity'!J2:J305,"Blocked")</f>
        <v>0</v>
      </c>
      <c r="L48" s="4">
        <f>C48-I48-J48-K48</f>
        <v>288</v>
      </c>
      <c r="M48" s="5">
        <f>IFERROR(I48/(I48+J48),0)</f>
        <v>0</v>
      </c>
      <c r="N48" s="5">
        <f>IFERROR((I48+J48+K48)/C48,0)</f>
        <v>0</v>
      </c>
    </row>
    <row r="49" spans="2:17">
      <c r="B49" s="3" t="s">
        <v>66</v>
      </c>
      <c r="C49" s="4">
        <f>COUNTA('Buyer Dashboard'!D2:D83)</f>
        <v>76</v>
      </c>
      <c r="D49" s="4">
        <f>COUNTIF('Buyer Dashboard'!D2:D83,"*Positive*")</f>
        <v>59</v>
      </c>
      <c r="E49" s="4">
        <f>COUNTIF('Buyer Dashboard'!D2:D83,"*Negative*")</f>
        <v>17</v>
      </c>
      <c r="F49" s="4">
        <f>COUNTIF('Buyer Dashboard'!E2:E83,"High")</f>
        <v>35</v>
      </c>
      <c r="G49" s="4">
        <f>COUNTIF('Buyer Dashboard'!E2:E83,"Medium")</f>
        <v>31</v>
      </c>
      <c r="H49" s="4">
        <f>COUNTIF('Buyer Dashboard'!E2:E83,"Low")</f>
        <v>10</v>
      </c>
      <c r="I49" s="4">
        <f>COUNTIF('Buyer Dashboard'!J2:J83,"Pass")</f>
        <v>0</v>
      </c>
      <c r="J49" s="4">
        <f>COUNTIF('Buyer Dashboard'!J2:J83,"Fail")</f>
        <v>0</v>
      </c>
      <c r="K49" s="4">
        <f>COUNTIF('Buyer Dashboard'!J2:J83,"Blocked")</f>
        <v>0</v>
      </c>
      <c r="L49" s="4">
        <f>C49-I49-J49-K49</f>
        <v>76</v>
      </c>
      <c r="M49" s="5">
        <f>IFERROR(I49/(I49+J49),0)</f>
        <v>0</v>
      </c>
      <c r="N49" s="5">
        <f>IFERROR((I49+J49+K49)/C49,0)</f>
        <v>0</v>
      </c>
    </row>
    <row r="50" spans="2:17">
      <c r="B50" s="3" t="s">
        <v>67</v>
      </c>
      <c r="C50" s="4">
        <f>COUNTA('Add Supplier Page'!D2:D43)</f>
        <v>42</v>
      </c>
      <c r="D50" s="4">
        <f>COUNTIF('Add Supplier Page'!D2:D43,"*Positive*")</f>
        <v>24</v>
      </c>
      <c r="E50" s="4">
        <f>COUNTIF('Add Supplier Page'!D2:D43,"*Negative*")</f>
        <v>18</v>
      </c>
      <c r="F50" s="4">
        <f>COUNTIF('Add Supplier Page'!E2:E43,"High")</f>
        <v>22</v>
      </c>
      <c r="G50" s="4">
        <f>COUNTIF('Add Supplier Page'!E2:E43,"Medium")</f>
        <v>15</v>
      </c>
      <c r="H50" s="4">
        <f>COUNTIF('Add Supplier Page'!E2:E43,"Low")</f>
        <v>5</v>
      </c>
      <c r="I50" s="4">
        <f>COUNTIF('Add Supplier Page'!J2:J43,"Pass")</f>
        <v>0</v>
      </c>
      <c r="J50" s="4">
        <f>COUNTIF('Add Supplier Page'!J2:J43,"Fail")</f>
        <v>0</v>
      </c>
      <c r="K50" s="4">
        <f>COUNTIF('Add Supplier Page'!J2:J43,"Blocked")</f>
        <v>0</v>
      </c>
      <c r="L50" s="4">
        <f>C50-I50-J50-K50</f>
        <v>42</v>
      </c>
      <c r="M50" s="5">
        <f>IFERROR(I50/(I50+J50),0)</f>
        <v>0</v>
      </c>
      <c r="N50" s="5">
        <f>IFERROR((I50+J50+K50)/C50,0)</f>
        <v>0</v>
      </c>
    </row>
    <row r="51" spans="2:17">
      <c r="B51" s="3" t="s">
        <v>68</v>
      </c>
      <c r="C51" s="4">
        <f>COUNTA('Buyer Report Page'!D2:D75)</f>
        <v>74</v>
      </c>
      <c r="D51" s="4">
        <f>COUNTIF('Buyer Report Page'!D2:D75,"*Positive*")</f>
        <v>40</v>
      </c>
      <c r="E51" s="4">
        <f>COUNTIF('Buyer Report Page'!D2:D75,"*Negative*")</f>
        <v>34</v>
      </c>
      <c r="F51" s="4">
        <f>COUNTIF('Buyer Report Page'!E2:E75,"High")</f>
        <v>34</v>
      </c>
      <c r="G51" s="4">
        <f>COUNTIF('Buyer Report Page'!E2:E75,"Medium")</f>
        <v>33</v>
      </c>
      <c r="H51" s="4">
        <f>COUNTIF('Buyer Report Page'!E2:E75,"Low")</f>
        <v>7</v>
      </c>
      <c r="I51" s="4">
        <f>COUNTIF('Buyer Report Page'!J2:J75,"Pass")</f>
        <v>0</v>
      </c>
      <c r="J51" s="4">
        <f>COUNTIF('Buyer Report Page'!J2:J75,"Fail")</f>
        <v>0</v>
      </c>
      <c r="K51" s="4">
        <f>COUNTIF('Buyer Report Page'!J2:J75,"Blocked")</f>
        <v>0</v>
      </c>
      <c r="L51" s="4">
        <f>C51-I51-J51-K51</f>
        <v>74</v>
      </c>
      <c r="M51" s="5">
        <f>IFERROR(I51/(I51+J51),0)</f>
        <v>0</v>
      </c>
      <c r="N51" s="5">
        <f>IFERROR((I51+J51+K51)/C51,0)</f>
        <v>0</v>
      </c>
    </row>
    <row r="52" spans="2:17">
      <c r="B52" s="3" t="s">
        <v>69</v>
      </c>
      <c r="C52" s="4">
        <f>COUNTA('Buyer Help and Support Page'!D2:D55)</f>
        <v>54</v>
      </c>
      <c r="D52" s="4">
        <f>COUNTIF('Buyer Help and Support Page'!D2:D55,"*Positive*")</f>
        <v>37</v>
      </c>
      <c r="E52" s="4">
        <f>COUNTIF('Buyer Help and Support Page'!D2:D55,"*Negative*")</f>
        <v>17</v>
      </c>
      <c r="F52" s="4">
        <f>COUNTIF('Buyer Help and Support Page'!E2:E55,"High")</f>
        <v>33</v>
      </c>
      <c r="G52" s="4">
        <f>COUNTIF('Buyer Help and Support Page'!E2:E55,"Medium")</f>
        <v>13</v>
      </c>
      <c r="H52" s="4">
        <f>COUNTIF('Buyer Help and Support Page'!E2:E55,"Low")</f>
        <v>8</v>
      </c>
      <c r="I52" s="4">
        <f>COUNTIF('Buyer Help and Support Page'!J2:J55,"Pass")</f>
        <v>0</v>
      </c>
      <c r="J52" s="4">
        <f>COUNTIF('Buyer Help and Support Page'!J2:J55,"Fail")</f>
        <v>0</v>
      </c>
      <c r="K52" s="4">
        <f>COUNTIF('Buyer Help and Support Page'!J2:J55,"Blocked")</f>
        <v>0</v>
      </c>
      <c r="L52" s="4">
        <f>C52-I52-J52-K52</f>
        <v>54</v>
      </c>
      <c r="M52" s="5">
        <f>IFERROR(I52/(I52+J52),0)</f>
        <v>0</v>
      </c>
      <c r="N52" s="5">
        <f>IFERROR((I52+J52+K52)/C52,0)</f>
        <v>0</v>
      </c>
    </row>
    <row r="53" spans="2:17">
      <c r="B53" s="3" t="s">
        <v>70</v>
      </c>
      <c r="C53" s="4">
        <f>COUNTA('Buyer Entity Page'!D2:D258)</f>
        <v>254</v>
      </c>
      <c r="D53" s="4">
        <f>COUNTIF('Buyer Entity Page'!D2:D258,"*Positive*")</f>
        <v>100</v>
      </c>
      <c r="E53" s="4">
        <f>COUNTIF('Buyer Entity Page'!D2:D258,"*Negative*")</f>
        <v>150</v>
      </c>
      <c r="F53" s="4">
        <f>COUNTIF('Buyer Entity Page'!E2:E258,"High")</f>
        <v>48</v>
      </c>
      <c r="G53" s="4">
        <f>COUNTIF('Buyer Entity Page'!E2:E258,"Medium")</f>
        <v>161</v>
      </c>
      <c r="H53" s="4">
        <f>COUNTIF('Buyer Entity Page'!E2:E258,"Low")</f>
        <v>45</v>
      </c>
      <c r="I53" s="4">
        <f>COUNTIF('Buyer Entity Page'!J2:J258,"Pass")</f>
        <v>0</v>
      </c>
      <c r="J53" s="4">
        <f>COUNTIF('Buyer Entity Page'!J2:J258,"Fail")</f>
        <v>0</v>
      </c>
      <c r="K53" s="4">
        <f>COUNTIF('Buyer Entity Page'!J2:J258,"Blocked")</f>
        <v>0</v>
      </c>
      <c r="L53" s="4">
        <f>C53-I53-J53-K53</f>
        <v>254</v>
      </c>
      <c r="M53" s="5">
        <f>IFERROR(I53/(I53+J53),0)</f>
        <v>0</v>
      </c>
      <c r="N53" s="5">
        <f>IFERROR((I53+J53+K53)/C53,0)</f>
        <v>0</v>
      </c>
    </row>
    <row r="54" spans="2:17">
      <c r="B54" s="3" t="s">
        <v>71</v>
      </c>
      <c r="C54" s="4">
        <f>COUNTA('Buyer Add Card Page '!D2:D38)</f>
        <v>37</v>
      </c>
      <c r="D54" s="4">
        <f>COUNTIF('Buyer Add Card Page '!D2:D38,"*Positive*")</f>
        <v>19</v>
      </c>
      <c r="E54" s="4">
        <f>COUNTIF('Buyer Add Card Page '!D2:D38,"*Negative*")</f>
        <v>18</v>
      </c>
      <c r="F54" s="4">
        <f>COUNTIF('Buyer Add Card Page '!E2:E38,"High")</f>
        <v>19</v>
      </c>
      <c r="G54" s="4">
        <f>COUNTIF('Buyer Add Card Page '!E2:E38,"Medium")</f>
        <v>13</v>
      </c>
      <c r="H54" s="4">
        <f>COUNTIF('Buyer Add Card Page '!E2:E38,"Low")</f>
        <v>5</v>
      </c>
      <c r="I54" s="4">
        <f>COUNTIF('Buyer Add Card Page '!J2:J38,"Pass")</f>
        <v>0</v>
      </c>
      <c r="J54" s="4">
        <f>COUNTIF('Buyer Add Card Page '!J2:J38,"Fail")</f>
        <v>0</v>
      </c>
      <c r="K54" s="4">
        <f>COUNTIF('Buyer Add Card Page '!J2:J38,"Blocked")</f>
        <v>0</v>
      </c>
      <c r="L54" s="4">
        <f>C54-I54-J54-K54</f>
        <v>37</v>
      </c>
      <c r="M54" s="5">
        <f>IFERROR(I54/(I54+J54),0)</f>
        <v>0</v>
      </c>
      <c r="N54" s="5">
        <f>IFERROR((I54+J54+K54)/C54,0)</f>
        <v>0</v>
      </c>
    </row>
    <row r="55" spans="2:17">
      <c r="B55" s="3" t="s">
        <v>72</v>
      </c>
      <c r="C55" s="4">
        <f>COUNTA('Buyer Payable Page'!D2:D85)</f>
        <v>84</v>
      </c>
      <c r="D55" s="4">
        <f>COUNTIF('Buyer Payable Page'!D2:D85,"*Positive*")</f>
        <v>52</v>
      </c>
      <c r="E55" s="4">
        <f>COUNTIF('Buyer Payable Page'!D2:D85,"*Negative*")</f>
        <v>32</v>
      </c>
      <c r="F55" s="4">
        <f>COUNTIF('Buyer Payable Page'!E2:E85,"High")</f>
        <v>35</v>
      </c>
      <c r="G55" s="4">
        <f>COUNTIF('Buyer Payable Page'!E2:E85,"Medium")</f>
        <v>40</v>
      </c>
      <c r="H55" s="4">
        <f>COUNTIF('Buyer Payable Page'!E2:E85,"Low")</f>
        <v>9</v>
      </c>
      <c r="I55" s="4">
        <f>COUNTIF('Buyer Payable Page'!J2:J85,"Pass")</f>
        <v>0</v>
      </c>
      <c r="J55" s="4">
        <f>COUNTIF('Buyer Payable Page'!J2:J85,"Fail")</f>
        <v>0</v>
      </c>
      <c r="K55" s="4">
        <f>COUNTIF('Buyer Payable Page'!J2:J85,"Blocked")</f>
        <v>0</v>
      </c>
      <c r="L55" s="4">
        <f>C55-I55-J55-K55</f>
        <v>84</v>
      </c>
      <c r="M55" s="5">
        <f>IFERROR(I55/(I55+J55),0)</f>
        <v>0</v>
      </c>
      <c r="N55" s="5">
        <f>IFERROR((I55+J55+K55)/C55,0)</f>
        <v>0</v>
      </c>
    </row>
    <row r="56" spans="2:17">
      <c r="B56" s="3" t="s">
        <v>73</v>
      </c>
      <c r="C56" s="4">
        <f>COUNTA('Email Notification'!D2:D82)</f>
        <v>81</v>
      </c>
      <c r="D56" s="4">
        <f>COUNTIF('Email Notification'!D2:D82,"*Positive*")</f>
        <v>40</v>
      </c>
      <c r="E56" s="4">
        <f>COUNTIF('Email Notification'!D2:D82,"*Negative*")</f>
        <v>41</v>
      </c>
      <c r="F56" s="4">
        <f>COUNTIF('Email Notification'!E2:E82,"High")</f>
        <v>45</v>
      </c>
      <c r="G56" s="4">
        <f>COUNTIF('Email Notification'!E2:E82,"Medium")</f>
        <v>34</v>
      </c>
      <c r="H56" s="4">
        <f>COUNTIF('Email Notification'!E2:E82,"Low")</f>
        <v>2</v>
      </c>
      <c r="I56" s="4">
        <f>COUNTIF('Email Notification'!J2:J82,"Pass")</f>
        <v>0</v>
      </c>
      <c r="J56" s="4">
        <f>COUNTIF('Email Notification'!J2:J82,"Fail")</f>
        <v>0</v>
      </c>
      <c r="K56" s="4">
        <f>COUNTIF('Email Notification'!J2:J82,"Blocked")</f>
        <v>0</v>
      </c>
      <c r="L56" s="4">
        <f>C56-I56-J56-K56</f>
        <v>81</v>
      </c>
      <c r="M56" s="5">
        <f>IFERROR(I56/(I56+J56),0)</f>
        <v>0</v>
      </c>
      <c r="N56" s="5">
        <f>IFERROR((I56+J56+K56)/C56,0)</f>
        <v>0</v>
      </c>
    </row>
    <row r="57" spans="2:17">
      <c r="B57" s="3" t="s">
        <v>74</v>
      </c>
      <c r="C57" s="4">
        <f>COUNTA('In_App Notification'!D2:D65)</f>
        <v>64</v>
      </c>
      <c r="D57" s="4">
        <f>COUNTIF('In_App Notification'!D2:D65,"*Positive*")</f>
        <v>34</v>
      </c>
      <c r="E57" s="4">
        <f>COUNTIF('In_App Notification'!D2:D65,"*Negative*")</f>
        <v>30</v>
      </c>
      <c r="F57" s="4">
        <f>COUNTIF('In_App Notification'!E2:E65,"High")</f>
        <v>44</v>
      </c>
      <c r="G57" s="4">
        <f>COUNTIF('In_App Notification'!E2:E65,"Medium")</f>
        <v>19</v>
      </c>
      <c r="H57" s="4">
        <f>COUNTIF('In_App Notification'!E2:E65,"Low")</f>
        <v>1</v>
      </c>
      <c r="I57" s="4">
        <f>COUNTIF('In_App Notification'!J2:J65,"Pass")</f>
        <v>0</v>
      </c>
      <c r="J57" s="4">
        <f>COUNTIF('In_App Notification'!J2:J65,"Fail")</f>
        <v>0</v>
      </c>
      <c r="K57" s="4">
        <f>COUNTIF('In_App Notification'!J2:J65,"Blocked")</f>
        <v>0</v>
      </c>
      <c r="L57" s="4">
        <f>C57-I57-J57-K57</f>
        <v>64</v>
      </c>
      <c r="M57" s="5">
        <f>IFERROR(I57/(I57+J57),0)</f>
        <v>0</v>
      </c>
      <c r="N57" s="5">
        <f>IFERROR((I57+J57+K57)/C57,0)</f>
        <v>0</v>
      </c>
    </row>
    <row r="58" spans="2:17">
      <c r="B58" s="7" t="s">
        <v>75</v>
      </c>
      <c r="C58" s="8">
        <f>SUM(C37:C57)</f>
        <v>2201</v>
      </c>
      <c r="D58" s="8">
        <f>SUM(D37:D57)</f>
        <v>1072</v>
      </c>
      <c r="E58" s="8">
        <f>SUM(E37:E57)</f>
        <v>1120</v>
      </c>
      <c r="F58" s="8">
        <f>SUM(F37:F57)</f>
        <v>768</v>
      </c>
      <c r="G58" s="8">
        <f>SUM(G37:G57)</f>
        <v>1119</v>
      </c>
      <c r="H58" s="8">
        <f>SUM(H37:H57)</f>
        <v>314</v>
      </c>
      <c r="I58" s="8">
        <f>SUM(I37:I57)</f>
        <v>28</v>
      </c>
      <c r="J58" s="8">
        <f>SUM(J37:J57)</f>
        <v>5</v>
      </c>
      <c r="K58" s="8">
        <f>SUM(K37:K57)</f>
        <v>0</v>
      </c>
      <c r="L58" s="8">
        <f>C58-I58-J58-K58</f>
        <v>2168</v>
      </c>
      <c r="M58" s="9">
        <f>IFERROR(I58/(I58+J58),0)</f>
        <v>0.84848484848484851</v>
      </c>
      <c r="N58" s="9">
        <f>IFERROR((I58+J58+K58)/C58,0)</f>
        <v>1.4993184915947297E-2</v>
      </c>
    </row>
    <row r="60" spans="2:17" ht="15" customHeight="1">
      <c r="B60" s="60" t="s">
        <v>76</v>
      </c>
      <c r="C60" s="60"/>
      <c r="D60" s="60"/>
      <c r="E60" s="60"/>
      <c r="F60" s="60"/>
      <c r="G60" s="60"/>
      <c r="H60" s="60"/>
      <c r="I60" s="60"/>
      <c r="J60" s="60"/>
      <c r="K60" s="60"/>
      <c r="L60" s="60"/>
      <c r="M60" s="60"/>
      <c r="N60" s="60"/>
    </row>
    <row r="61" spans="2:17">
      <c r="B61" s="60"/>
      <c r="C61" s="60"/>
      <c r="D61" s="60"/>
      <c r="E61" s="60"/>
      <c r="F61" s="60"/>
      <c r="G61" s="60"/>
      <c r="H61" s="60"/>
      <c r="I61" s="60"/>
      <c r="J61" s="60"/>
      <c r="K61" s="60"/>
      <c r="L61" s="60"/>
      <c r="M61" s="60"/>
      <c r="N61" s="60"/>
    </row>
    <row r="62" spans="2:17">
      <c r="B62" s="60"/>
      <c r="C62" s="60"/>
      <c r="D62" s="60"/>
      <c r="E62" s="60"/>
      <c r="F62" s="60"/>
      <c r="G62" s="60"/>
      <c r="H62" s="60"/>
      <c r="I62" s="60"/>
      <c r="J62" s="60"/>
      <c r="K62" s="60"/>
      <c r="L62" s="60"/>
      <c r="M62" s="60"/>
      <c r="N62" s="60"/>
    </row>
    <row r="63" spans="2:17">
      <c r="P63" s="10" t="s">
        <v>77</v>
      </c>
    </row>
    <row r="64" spans="2:17">
      <c r="P64" s="11" t="s">
        <v>43</v>
      </c>
      <c r="Q64" s="11">
        <f>COUNTIF(Register!D2:D41,"*Positive*")+COUNTIF(Login!D2:D34,"*Positive*")+COUNTIF('Forgot Password'!D2:D34,"*Positive*")+COUNTIF('Supplier Onboarding'!D2:D256,"*Positive*")+COUNTIF('Buyer Onboarding'!D2:D223,"*Positive*")+COUNTIF('Supplier Dashboard page'!D2:D109,"*Positive*")+COUNTIF('Supplier Buyer page'!D2:D115,"*Positive*")+COUNTIF('Supplier Reports Page'!D2:D75,"*Positive*")+COUNTIF('Supplier Invoices Page'!D2:D132,"*Positive*")+COUNTIF('Supplier Admin page '!D2:D84,"*Positive*")+COUNTIF('Supplier Help and Support Page'!D2:D55,"*Positive*")+COUNTIF('Supplier Entity'!D2:D305,"*Positive*")+COUNTIF('Buyer Dashboard'!D2:D83,"*Positive*")+COUNTIF('Add Supplier Page'!D2:D43,"*Positive*")+COUNTIF('Buyer Report Page'!D2:D75,"*Positive*")+COUNTIF('Buyer Help and Support Page'!D2:D55,"*Positive*")+COUNTIF('Buyer Entity Page'!D2:D258,"*Positive*")+COUNTIF('Buyer Add Card Page '!D2:D38,"*Positive*")+COUNTIF('Buyer Payable Page'!D2:D85,"*Positive*")+COUNTIF('Email Notification'!D2:D82,"*Positive*")+COUNTIF('In_App Notification'!D2:D65,"*Positive*")</f>
        <v>1072</v>
      </c>
    </row>
    <row r="65" spans="16:17">
      <c r="P65" s="11" t="s">
        <v>44</v>
      </c>
      <c r="Q65" s="11">
        <f>COUNTIF(Register!D2:D41,"*Negative*")+COUNTIF(Login!D2:D34,"*Negative*")+COUNTIF('Forgot Password'!D2:D34,"*Negative*")+COUNTIF('Supplier Onboarding'!D2:D256,"*Negative*")+COUNTIF('Buyer Onboarding'!D2:D223,"*Negative*")+COUNTIF('Supplier Dashboard page'!D2:D109,"*Negative*")+COUNTIF('Supplier Buyer page'!D2:D115,"*Negative*")+COUNTIF('Supplier Reports Page'!D2:D75,"*Negative*")+COUNTIF('Supplier Invoices Page'!D2:D132,"*Negative*")+COUNTIF('Supplier Admin page '!D2:D84,"*Negative*")+COUNTIF('Supplier Help and Support Page'!D2:D55,"*Negative*")+COUNTIF('Supplier Entity'!D2:D305,"*Negative*")+COUNTIF('Buyer Dashboard'!D2:D83,"*Negative*")+COUNTIF('Add Supplier Page'!D2:D43,"*Negative*")+COUNTIF('Buyer Report Page'!D2:D75,"*Negative*")+COUNTIF('Buyer Help and Support Page'!D2:D55,"*Negative*")+COUNTIF('Buyer Entity Page'!D2:D258,"*Negative*")+COUNTIF('Buyer Add Card Page '!D2:D38,"*Negative*")+COUNTIF('Buyer Payable Page'!D2:D85,"*Negative*")+COUNTIF('Email Notification'!D2:D82,"*Negative*")+COUNTIF('In_App Notification'!D2:D65,"*Negative*")</f>
        <v>1120</v>
      </c>
    </row>
    <row r="66" spans="16:17">
      <c r="P66" s="11" t="s">
        <v>78</v>
      </c>
      <c r="Q66" s="11">
        <f>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Notification'!D2:D65)-(COUNTIF(Register!D2:D41,"*Positive*")+COUNTIF(Login!D2:D34,"*Positive*")+COUNTIF('Forgot Password'!D2:D34,"*Positive*")+COUNTIF('Supplier Onboarding'!D2:D256,"*Positive*")+COUNTIF('Buyer Onboarding'!D2:D223,"*Positive*")+COUNTIF('Supplier Dashboard page'!D2:D109,"*Positive*")+COUNTIF('Supplier Buyer page'!D2:D115,"*Positive*")+COUNTIF('Supplier Reports Page'!D2:D75,"*Positive*")+COUNTIF('Supplier Invoices Page'!D2:D132,"*Positive*")+COUNTIF('Supplier Admin page '!D2:D84,"*Positive*")+COUNTIF('Supplier Help and Support Page'!D2:D55,"*Positive*")+COUNTIF('Supplier Entity'!D2:D305,"*Positive*")+COUNTIF('Buyer Dashboard'!D2:D83,"*Positive*")+COUNTIF('Add Supplier Page'!D2:D43,"*Positive*")+COUNTIF('Buyer Report Page'!D2:D75,"*Positive*")+COUNTIF('Buyer Help and Support Page'!D2:D55,"*Positive*")+COUNTIF('Buyer Entity Page'!D2:D258,"*Positive*")+COUNTIF('Buyer Add Card Page '!D2:D38,"*Positive*")+COUNTIF('Buyer Payable Page'!D2:D85,"*Positive*")+COUNTIF('Email Notification'!D2:D82,"*Positive*")+COUNTIF('In_App Notification'!D2:D65,"*Positive*"))-(COUNTIF(Register!D2:D41,"*Negative*")+COUNTIF(Login!D2:D34,"*Negative*")+COUNTIF('Forgot Password'!D2:D34,"*Negative*")+COUNTIF('Supplier Onboarding'!D2:D256,"*Negative*")+COUNTIF('Buyer Onboarding'!D2:D223,"*Negative*")+COUNTIF('Supplier Dashboard page'!D2:D109,"*Negative*")+COUNTIF('Supplier Buyer page'!D2:D115,"*Negative*")+COUNTIF('Supplier Reports Page'!D2:D75,"*Negative*")+COUNTIF('Supplier Invoices Page'!D2:D132,"*Negative*")+COUNTIF('Supplier Admin page '!D2:D84,"*Negative*")+COUNTIF('Supplier Help and Support Page'!D2:D55,"*Negative*")+COUNTIF('Supplier Entity'!D2:D305,"*Negative*")+COUNTIF('Buyer Dashboard'!D2:D83,"*Negative*")+COUNTIF('Add Supplier Page'!D2:D43,"*Negative*")+COUNTIF('Buyer Report Page'!D2:D75,"*Negative*")+COUNTIF('Buyer Help and Support Page'!D2:D55,"*Negative*")+COUNTIF('Buyer Entity Page'!D2:D258,"*Negative*")+COUNTIF('Buyer Add Card Page '!D2:D38,"*Negative*")+COUNTIF('Buyer Payable Page'!D2:D85,"*Negative*")+COUNTIF('Email Notification'!D2:D82,"*Negative*")+COUNTIF('In_App Notification'!D2:D65,"*Negative*"))</f>
        <v>9</v>
      </c>
    </row>
    <row r="68" spans="16:17">
      <c r="P68" s="11" t="s">
        <v>48</v>
      </c>
      <c r="Q68" s="11">
        <f>COUNTIF(Register!J2:J41,"Pass")+COUNTIF(Login!J2:J34,"Pass")+COUNTIF('Forgot Password'!J2:J34,"Pass")+COUNTIF('Supplier Onboarding'!J2:J256,"Pass")+COUNTIF('Buyer Onboarding'!J2:J223,"Pass")+COUNTIF('Supplier Dashboard page'!J2:J109,"Pass")+COUNTIF('Supplier Buyer page'!J2:J115,"Pass")+COUNTIF('Supplier Reports Page'!J2:J75,"Pass")+COUNTIF('Supplier Invoices Page'!J2:J132,"Pass")+COUNTIF('Supplier Admin page '!J2:J84,"Pass")+COUNTIF('Supplier Help and Support Page'!J2:J55,"Pass")+COUNTIF('Supplier Entity'!J2:J305,"Pass")+COUNTIF('Buyer Dashboard'!J2:J83,"Pass")+COUNTIF('Add Supplier Page'!J2:J43,"Pass")+COUNTIF('Buyer Report Page'!J2:J75,"Pass")+COUNTIF('Buyer Help and Support Page'!J2:J55,"Pass")+COUNTIF('Buyer Entity Page'!J2:J258,"Pass")+COUNTIF('Buyer Add Card Page '!J2:J38,"Pass")+COUNTIF('Buyer Payable Page'!J2:J85,"Pass")+COUNTIF('Email Notification'!J2:J82,"Pass")+COUNTIF('In_App Notification'!J2:J65,"Pass")</f>
        <v>28</v>
      </c>
    </row>
    <row r="69" spans="16:17">
      <c r="P69" s="11" t="s">
        <v>49</v>
      </c>
      <c r="Q69" s="11">
        <f>COUNTIF(Register!J2:J41,"Fail")+COUNTIF(Login!J2:J34,"Fail")+COUNTIF('Forgot Password'!J2:J34,"Fail")+COUNTIF('Supplier Onboarding'!J2:J256,"Fail")+COUNTIF('Buyer Onboarding'!J2:J223,"Fail")+COUNTIF('Supplier Dashboard page'!J2:J109,"Fail")+COUNTIF('Supplier Buyer page'!J2:J115,"Fail")+COUNTIF('Supplier Reports Page'!J2:J75,"Fail")+COUNTIF('Supplier Invoices Page'!J2:J132,"Fail")+COUNTIF('Supplier Admin page '!J2:J84,"Fail")+COUNTIF('Supplier Help and Support Page'!J2:J55,"Fail")+COUNTIF('Supplier Entity'!J2:J305,"Fail")+COUNTIF('Buyer Dashboard'!J2:J83,"Fail")+COUNTIF('Add Supplier Page'!J2:J43,"Fail")+COUNTIF('Buyer Report Page'!J2:J75,"Fail")+COUNTIF('Buyer Help and Support Page'!J2:J55,"Fail")+COUNTIF('Buyer Entity Page'!J2:J258,"Fail")+COUNTIF('Buyer Add Card Page '!J2:J38,"Fail")+COUNTIF('Buyer Payable Page'!J2:J85,"Fail")+COUNTIF('Email Notification'!J2:J82,"Fail")+COUNTIF('In_App Notification'!J2:J65,"Fail")</f>
        <v>5</v>
      </c>
    </row>
    <row r="70" spans="16:17">
      <c r="P70" s="11" t="s">
        <v>50</v>
      </c>
      <c r="Q70" s="11">
        <f>COUNTIF(Register!J2:J41,"Blocked")+COUNTIF(Login!J2:J34,"Blocked")+COUNTIF('Forgot Password'!J2:J34,"Blocked")+COUNTIF('Supplier Onboarding'!J2:J256,"Blocked")+COUNTIF('Buyer Onboarding'!J2:J223,"Blocked")+COUNTIF('Supplier Dashboard page'!J2:J109,"Blocked")+COUNTIF('Supplier Buyer page'!J2:J115,"Blocked")+COUNTIF('Supplier Reports Page'!J2:J75,"Blocked")+COUNTIF('Supplier Invoices Page'!J2:J132,"Blocked")+COUNTIF('Supplier Admin page '!J2:J84,"Blocked")+COUNTIF('Supplier Help and Support Page'!J2:J55,"Blocked")+COUNTIF('Supplier Entity'!J2:J305,"Blocked")+COUNTIF('Buyer Dashboard'!J2:J83,"Blocked")+COUNTIF('Add Supplier Page'!J2:J43,"Blocked")+COUNTIF('Buyer Report Page'!J2:J75,"Blocked")+COUNTIF('Buyer Help and Support Page'!J2:J55,"Blocked")+COUNTIF('Buyer Entity Page'!J2:J258,"Blocked")+COUNTIF('Buyer Add Card Page '!J2:J38,"Blocked")+COUNTIF('Buyer Payable Page'!J2:J85,"Blocked")+COUNTIF('Email Notification'!J2:J82,"Blocked")+COUNTIF('In_App Notification'!J2:J65,"Blocked")</f>
        <v>0</v>
      </c>
    </row>
    <row r="71" spans="16:17">
      <c r="P71" s="11" t="s">
        <v>51</v>
      </c>
      <c r="Q71" s="11">
        <f>COUNTA(Register!D2:D41)+COUNTA(Login!D2:D34)+COUNTA('Forgot Password'!D2:D34)+COUNTA('Supplier Onboarding'!D2:D256)+COUNTA('Buyer Onboarding'!D2:D223)+COUNTA('Supplier Dashboard page'!D2:D109)+COUNTA('Supplier Buyer page'!D2:D115)+COUNTA('Supplier Reports Page'!D2:D75)+COUNTA('Supplier Invoices Page'!D2:D132)+COUNTA('Supplier Admin page '!D2:D84)+COUNTA('Supplier Help and Support Page'!D2:D55)+COUNTA('Supplier Entity'!D2:D305)+COUNTA('Buyer Dashboard'!D2:D83)+COUNTA('Add Supplier Page'!D2:D43)+COUNTA('Buyer Report Page'!D2:D75)+COUNTA('Buyer Help and Support Page'!D2:D55)+COUNTA('Buyer Entity Page'!D2:D258)+COUNTA('Buyer Add Card Page '!D2:D38)+COUNTA('Buyer Payable Page'!D2:D85)+COUNTA('Email Notification'!D2:D82)+COUNTA('In_App Notification'!D2:D65)-(COUNTIF(Register!J2:J41,"Pass")+COUNTIF(Login!J2:J34,"Pass")+COUNTIF('Forgot Password'!J2:J34,"Pass")+COUNTIF('Supplier Onboarding'!J2:J256,"Pass")+COUNTIF('Buyer Onboarding'!J2:J223,"Pass")+COUNTIF('Supplier Dashboard page'!J2:J109,"Pass")+COUNTIF('Supplier Buyer page'!J2:J115,"Pass")+COUNTIF('Supplier Reports Page'!J2:J75,"Pass")+COUNTIF('Supplier Invoices Page'!J2:J132,"Pass")+COUNTIF('Supplier Admin page '!J2:J84,"Pass")+COUNTIF('Supplier Help and Support Page'!J2:J55,"Pass")+COUNTIF('Supplier Entity'!J2:J305,"Pass")+COUNTIF('Buyer Dashboard'!J2:J83,"Pass")+COUNTIF('Add Supplier Page'!J2:J43,"Pass")+COUNTIF('Buyer Report Page'!J2:J75,"Pass")+COUNTIF('Buyer Help and Support Page'!J2:J55,"Pass")+COUNTIF('Buyer Entity Page'!J2:J258,"Pass")+COUNTIF('Buyer Add Card Page '!J2:J38,"Pass")+COUNTIF('Buyer Payable Page'!J2:J85,"Pass")+COUNTIF('Email Notification'!J2:J82,"Pass")+COUNTIF('In_App Notification'!J2:J65,"Pass"))-(COUNTIF(Register!J2:J41,"Fail")+COUNTIF(Login!J2:J34,"Fail")+COUNTIF('Forgot Password'!J2:J34,"Fail")+COUNTIF('Supplier Onboarding'!J2:J256,"Fail")+COUNTIF('Buyer Onboarding'!J2:J223,"Fail")+COUNTIF('Supplier Dashboard page'!J2:J109,"Fail")+COUNTIF('Supplier Buyer page'!J2:J115,"Fail")+COUNTIF('Supplier Reports Page'!J2:J75,"Fail")+COUNTIF('Supplier Invoices Page'!J2:J132,"Fail")+COUNTIF('Supplier Admin page '!J2:J84,"Fail")+COUNTIF('Supplier Help and Support Page'!J2:J55,"Fail")+COUNTIF('Supplier Entity'!J2:J305,"Fail")+COUNTIF('Buyer Dashboard'!J2:J83,"Fail")+COUNTIF('Add Supplier Page'!J2:J43,"Fail")+COUNTIF('Buyer Report Page'!J2:J75,"Fail")+COUNTIF('Buyer Help and Support Page'!J2:J55,"Fail")+COUNTIF('Buyer Entity Page'!J2:J258,"Fail")+COUNTIF('Buyer Add Card Page '!J2:J38,"Fail")+COUNTIF('Buyer Payable Page'!J2:J85,"Fail")+COUNTIF('Email Notification'!J2:J82,"Fail")+COUNTIF('In_App Notification'!J2:J65,"Fail"))-(COUNTIF(Register!J2:J41,"Blocked")+COUNTIF(Login!J2:J34,"Blocked")+COUNTIF('Forgot Password'!J2:J34,"Blocked")+COUNTIF('Supplier Onboarding'!J2:J256,"Blocked")+COUNTIF('Buyer Onboarding'!J2:J223,"Blocked")+COUNTIF('Supplier Dashboard page'!J2:J109,"Blocked")+COUNTIF('Supplier Buyer page'!J2:J115,"Blocked")+COUNTIF('Supplier Reports Page'!J2:J75,"Blocked")+COUNTIF('Supplier Invoices Page'!J2:J132,"Blocked")+COUNTIF('Supplier Admin page '!J2:J84,"Blocked")+COUNTIF('Supplier Help and Support Page'!J2:J55,"Blocked")+COUNTIF('Supplier Entity'!J2:J305,"Blocked")+COUNTIF('Buyer Dashboard'!J2:J83,"Blocked")+COUNTIF('Add Supplier Page'!J2:J43,"Blocked")+COUNTIF('Buyer Report Page'!J2:J75,"Blocked")+COUNTIF('Buyer Help and Support Page'!J2:J55,"Blocked")+COUNTIF('Buyer Entity Page'!J2:J258,"Blocked")+COUNTIF('Buyer Add Card Page '!J2:J38,"Blocked")+COUNTIF('Buyer Payable Page'!J2:J85,"Blocked")+COUNTIF('Email Notification'!J2:J82,"Blocked")+COUNTIF('In_App Notification'!J2:J65,"Blocked"))</f>
        <v>2168</v>
      </c>
    </row>
  </sheetData>
  <mergeCells count="40">
    <mergeCell ref="B19:S19"/>
    <mergeCell ref="B35:S35"/>
    <mergeCell ref="B60:N62"/>
    <mergeCell ref="B17:D17"/>
    <mergeCell ref="E17:G17"/>
    <mergeCell ref="H17:J17"/>
    <mergeCell ref="K17:M17"/>
    <mergeCell ref="N17:P17"/>
    <mergeCell ref="B16:D16"/>
    <mergeCell ref="E16:G16"/>
    <mergeCell ref="H16:J16"/>
    <mergeCell ref="K16:M16"/>
    <mergeCell ref="N16:P16"/>
    <mergeCell ref="B12:E12"/>
    <mergeCell ref="G12:J12"/>
    <mergeCell ref="L12:O12"/>
    <mergeCell ref="Q12:T12"/>
    <mergeCell ref="B15:S15"/>
    <mergeCell ref="B10:E10"/>
    <mergeCell ref="G10:J10"/>
    <mergeCell ref="L10:O10"/>
    <mergeCell ref="Q10:T10"/>
    <mergeCell ref="B11:E11"/>
    <mergeCell ref="G11:J11"/>
    <mergeCell ref="L11:O11"/>
    <mergeCell ref="Q11:T11"/>
    <mergeCell ref="B6:E6"/>
    <mergeCell ref="G6:J6"/>
    <mergeCell ref="L6:O6"/>
    <mergeCell ref="Q6:T6"/>
    <mergeCell ref="B7:E7"/>
    <mergeCell ref="G7:J7"/>
    <mergeCell ref="L7:O7"/>
    <mergeCell ref="Q7:T7"/>
    <mergeCell ref="B2:S2"/>
    <mergeCell ref="B3:S3"/>
    <mergeCell ref="B5:E5"/>
    <mergeCell ref="G5:J5"/>
    <mergeCell ref="L5:O5"/>
    <mergeCell ref="Q5:T5"/>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
  <sheetViews>
    <sheetView topLeftCell="G1" zoomScaleNormal="100" workbookViewId="0">
      <selection activeCell="C2" sqref="C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84" customHeight="1">
      <c r="A2" s="13" t="s">
        <v>90</v>
      </c>
      <c r="B2" s="14" t="s">
        <v>91</v>
      </c>
      <c r="C2" s="14" t="s">
        <v>92</v>
      </c>
      <c r="D2" s="15" t="s">
        <v>43</v>
      </c>
      <c r="E2" s="13" t="s">
        <v>45</v>
      </c>
      <c r="F2" s="14" t="s">
        <v>93</v>
      </c>
      <c r="G2" s="14" t="s">
        <v>94</v>
      </c>
      <c r="H2" s="14" t="s">
        <v>95</v>
      </c>
      <c r="I2" s="14"/>
      <c r="J2" s="16" t="s">
        <v>51</v>
      </c>
      <c r="K2" s="14"/>
    </row>
    <row r="3" spans="1:11" ht="69.75" customHeight="1">
      <c r="A3" s="13" t="s">
        <v>96</v>
      </c>
      <c r="B3" s="14" t="s">
        <v>91</v>
      </c>
      <c r="C3" s="14" t="s">
        <v>97</v>
      </c>
      <c r="D3" s="15" t="s">
        <v>43</v>
      </c>
      <c r="E3" s="13" t="s">
        <v>46</v>
      </c>
      <c r="F3" s="14" t="s">
        <v>98</v>
      </c>
      <c r="G3" s="14" t="s">
        <v>99</v>
      </c>
      <c r="H3" s="14" t="s">
        <v>100</v>
      </c>
      <c r="I3" s="14"/>
      <c r="J3" s="16" t="s">
        <v>51</v>
      </c>
      <c r="K3" s="14"/>
    </row>
    <row r="4" spans="1:11" ht="55.5" customHeight="1">
      <c r="A4" s="13" t="s">
        <v>101</v>
      </c>
      <c r="B4" s="14" t="s">
        <v>91</v>
      </c>
      <c r="C4" s="14" t="s">
        <v>102</v>
      </c>
      <c r="D4" s="15" t="s">
        <v>43</v>
      </c>
      <c r="E4" s="13" t="s">
        <v>47</v>
      </c>
      <c r="F4" s="14" t="s">
        <v>103</v>
      </c>
      <c r="G4" s="14" t="s">
        <v>104</v>
      </c>
      <c r="H4" s="14" t="s">
        <v>105</v>
      </c>
      <c r="I4" s="14"/>
      <c r="J4" s="16" t="s">
        <v>51</v>
      </c>
      <c r="K4" s="14"/>
    </row>
    <row r="5" spans="1:11" ht="27.75" customHeight="1">
      <c r="A5" s="13" t="s">
        <v>106</v>
      </c>
      <c r="B5" s="14" t="s">
        <v>91</v>
      </c>
      <c r="C5" s="14" t="s">
        <v>107</v>
      </c>
      <c r="D5" s="15" t="s">
        <v>43</v>
      </c>
      <c r="E5" s="13" t="s">
        <v>47</v>
      </c>
      <c r="F5" s="14" t="s">
        <v>108</v>
      </c>
      <c r="G5" s="14" t="s">
        <v>109</v>
      </c>
      <c r="H5" s="14" t="s">
        <v>110</v>
      </c>
      <c r="I5" s="14"/>
      <c r="J5" s="16" t="s">
        <v>51</v>
      </c>
      <c r="K5" s="14"/>
    </row>
    <row r="6" spans="1:11" ht="42" customHeight="1">
      <c r="A6" s="13" t="s">
        <v>111</v>
      </c>
      <c r="B6" s="14" t="s">
        <v>91</v>
      </c>
      <c r="C6" s="14" t="s">
        <v>112</v>
      </c>
      <c r="D6" s="15" t="s">
        <v>43</v>
      </c>
      <c r="E6" s="13" t="s">
        <v>47</v>
      </c>
      <c r="F6" s="14" t="s">
        <v>113</v>
      </c>
      <c r="G6" s="14" t="s">
        <v>109</v>
      </c>
      <c r="H6" s="14" t="s">
        <v>114</v>
      </c>
      <c r="I6" s="14"/>
      <c r="J6" s="16" t="s">
        <v>51</v>
      </c>
      <c r="K6" s="14"/>
    </row>
    <row r="7" spans="1:11" ht="69.75" customHeight="1">
      <c r="A7" s="13" t="s">
        <v>115</v>
      </c>
      <c r="B7" s="14" t="s">
        <v>91</v>
      </c>
      <c r="C7" s="14" t="s">
        <v>116</v>
      </c>
      <c r="D7" s="15" t="s">
        <v>43</v>
      </c>
      <c r="E7" s="13" t="s">
        <v>46</v>
      </c>
      <c r="F7" s="14" t="s">
        <v>117</v>
      </c>
      <c r="G7" s="14" t="s">
        <v>118</v>
      </c>
      <c r="H7" s="14" t="s">
        <v>119</v>
      </c>
      <c r="I7" s="14"/>
      <c r="J7" s="16" t="s">
        <v>51</v>
      </c>
      <c r="K7" s="14" t="s">
        <v>120</v>
      </c>
    </row>
    <row r="8" spans="1:11" ht="55.5" customHeight="1">
      <c r="A8" s="17" t="s">
        <v>121</v>
      </c>
      <c r="B8" s="18" t="s">
        <v>91</v>
      </c>
      <c r="C8" s="18" t="s">
        <v>122</v>
      </c>
      <c r="D8" s="19" t="s">
        <v>44</v>
      </c>
      <c r="E8" s="17" t="s">
        <v>45</v>
      </c>
      <c r="F8" s="18" t="s">
        <v>123</v>
      </c>
      <c r="G8" s="18" t="s">
        <v>124</v>
      </c>
      <c r="H8" s="18" t="s">
        <v>125</v>
      </c>
      <c r="I8" s="18"/>
      <c r="J8" s="16" t="s">
        <v>51</v>
      </c>
      <c r="K8" s="18"/>
    </row>
    <row r="9" spans="1:11" ht="55.5" customHeight="1">
      <c r="A9" s="17" t="s">
        <v>126</v>
      </c>
      <c r="B9" s="18" t="s">
        <v>91</v>
      </c>
      <c r="C9" s="18" t="s">
        <v>127</v>
      </c>
      <c r="D9" s="19" t="s">
        <v>44</v>
      </c>
      <c r="E9" s="17" t="s">
        <v>45</v>
      </c>
      <c r="F9" s="18" t="s">
        <v>128</v>
      </c>
      <c r="G9" s="18" t="s">
        <v>129</v>
      </c>
      <c r="H9" s="18" t="s">
        <v>130</v>
      </c>
      <c r="I9" s="18"/>
      <c r="J9" s="16" t="s">
        <v>51</v>
      </c>
      <c r="K9" s="18"/>
    </row>
    <row r="10" spans="1:11" ht="55.5" customHeight="1">
      <c r="A10" s="17" t="s">
        <v>131</v>
      </c>
      <c r="B10" s="18" t="s">
        <v>91</v>
      </c>
      <c r="C10" s="18" t="s">
        <v>132</v>
      </c>
      <c r="D10" s="19" t="s">
        <v>44</v>
      </c>
      <c r="E10" s="17" t="s">
        <v>45</v>
      </c>
      <c r="F10" s="18" t="s">
        <v>133</v>
      </c>
      <c r="G10" s="18" t="s">
        <v>134</v>
      </c>
      <c r="H10" s="18" t="s">
        <v>135</v>
      </c>
      <c r="I10" s="18"/>
      <c r="J10" s="16" t="s">
        <v>51</v>
      </c>
      <c r="K10" s="18"/>
    </row>
    <row r="11" spans="1:11" ht="55.5" customHeight="1">
      <c r="A11" s="17" t="s">
        <v>136</v>
      </c>
      <c r="B11" s="18" t="s">
        <v>91</v>
      </c>
      <c r="C11" s="18" t="s">
        <v>137</v>
      </c>
      <c r="D11" s="19" t="s">
        <v>44</v>
      </c>
      <c r="E11" s="17" t="s">
        <v>45</v>
      </c>
      <c r="F11" s="18" t="s">
        <v>138</v>
      </c>
      <c r="G11" s="18" t="s">
        <v>139</v>
      </c>
      <c r="H11" s="18" t="s">
        <v>140</v>
      </c>
      <c r="I11" s="18"/>
      <c r="J11" s="16" t="s">
        <v>51</v>
      </c>
      <c r="K11" s="18" t="s">
        <v>141</v>
      </c>
    </row>
    <row r="12" spans="1:11" ht="55.5" customHeight="1">
      <c r="A12" s="17" t="s">
        <v>142</v>
      </c>
      <c r="B12" s="18" t="s">
        <v>91</v>
      </c>
      <c r="C12" s="18" t="s">
        <v>143</v>
      </c>
      <c r="D12" s="19" t="s">
        <v>44</v>
      </c>
      <c r="E12" s="17" t="s">
        <v>45</v>
      </c>
      <c r="F12" s="18" t="s">
        <v>144</v>
      </c>
      <c r="G12" s="18" t="s">
        <v>145</v>
      </c>
      <c r="H12" s="18" t="s">
        <v>146</v>
      </c>
      <c r="I12" s="18"/>
      <c r="J12" s="16" t="s">
        <v>51</v>
      </c>
      <c r="K12" s="18"/>
    </row>
    <row r="13" spans="1:11" ht="55.5" customHeight="1">
      <c r="A13" s="17" t="s">
        <v>147</v>
      </c>
      <c r="B13" s="18" t="s">
        <v>91</v>
      </c>
      <c r="C13" s="18" t="s">
        <v>148</v>
      </c>
      <c r="D13" s="19" t="s">
        <v>44</v>
      </c>
      <c r="E13" s="17" t="s">
        <v>46</v>
      </c>
      <c r="F13" s="18" t="s">
        <v>149</v>
      </c>
      <c r="G13" s="18" t="s">
        <v>150</v>
      </c>
      <c r="H13" s="18" t="s">
        <v>151</v>
      </c>
      <c r="I13" s="18"/>
      <c r="J13" s="16" t="s">
        <v>51</v>
      </c>
      <c r="K13" s="18"/>
    </row>
    <row r="14" spans="1:11" ht="55.5" customHeight="1">
      <c r="A14" s="17" t="s">
        <v>152</v>
      </c>
      <c r="B14" s="18" t="s">
        <v>91</v>
      </c>
      <c r="C14" s="18" t="s">
        <v>153</v>
      </c>
      <c r="D14" s="19" t="s">
        <v>44</v>
      </c>
      <c r="E14" s="17" t="s">
        <v>45</v>
      </c>
      <c r="F14" s="18" t="s">
        <v>154</v>
      </c>
      <c r="G14" s="18" t="s">
        <v>155</v>
      </c>
      <c r="H14" s="18" t="s">
        <v>156</v>
      </c>
      <c r="I14" s="18"/>
      <c r="J14" s="16" t="s">
        <v>51</v>
      </c>
      <c r="K14" s="18"/>
    </row>
    <row r="15" spans="1:11" ht="42" customHeight="1">
      <c r="A15" s="17" t="s">
        <v>157</v>
      </c>
      <c r="B15" s="18" t="s">
        <v>91</v>
      </c>
      <c r="C15" s="18" t="s">
        <v>158</v>
      </c>
      <c r="D15" s="19" t="s">
        <v>44</v>
      </c>
      <c r="E15" s="17" t="s">
        <v>47</v>
      </c>
      <c r="F15" s="18" t="s">
        <v>159</v>
      </c>
      <c r="G15" s="18" t="s">
        <v>160</v>
      </c>
      <c r="H15" s="18" t="s">
        <v>161</v>
      </c>
      <c r="I15" s="18"/>
      <c r="J15" s="16" t="s">
        <v>51</v>
      </c>
      <c r="K15" s="18" t="s">
        <v>162</v>
      </c>
    </row>
    <row r="16" spans="1:11" ht="55.5" customHeight="1">
      <c r="A16" s="17" t="s">
        <v>163</v>
      </c>
      <c r="B16" s="18" t="s">
        <v>91</v>
      </c>
      <c r="C16" s="18" t="s">
        <v>164</v>
      </c>
      <c r="D16" s="19" t="s">
        <v>44</v>
      </c>
      <c r="E16" s="17" t="s">
        <v>46</v>
      </c>
      <c r="F16" s="18" t="s">
        <v>165</v>
      </c>
      <c r="G16" s="18" t="s">
        <v>166</v>
      </c>
      <c r="H16" s="18" t="s">
        <v>167</v>
      </c>
      <c r="I16" s="18"/>
      <c r="J16" s="16" t="s">
        <v>51</v>
      </c>
      <c r="K16" s="18"/>
    </row>
    <row r="17" spans="1:11" ht="42" customHeight="1">
      <c r="A17" s="17" t="s">
        <v>168</v>
      </c>
      <c r="B17" s="18" t="s">
        <v>91</v>
      </c>
      <c r="C17" s="18" t="s">
        <v>169</v>
      </c>
      <c r="D17" s="19" t="s">
        <v>44</v>
      </c>
      <c r="E17" s="17" t="s">
        <v>47</v>
      </c>
      <c r="F17" s="18" t="s">
        <v>170</v>
      </c>
      <c r="G17" s="18" t="s">
        <v>171</v>
      </c>
      <c r="H17" s="18" t="s">
        <v>172</v>
      </c>
      <c r="I17" s="18"/>
      <c r="J17" s="16" t="s">
        <v>51</v>
      </c>
      <c r="K17" s="18"/>
    </row>
    <row r="18" spans="1:11" ht="84" customHeight="1">
      <c r="A18" s="13" t="s">
        <v>173</v>
      </c>
      <c r="B18" s="14" t="s">
        <v>174</v>
      </c>
      <c r="C18" s="14" t="s">
        <v>175</v>
      </c>
      <c r="D18" s="15" t="s">
        <v>43</v>
      </c>
      <c r="E18" s="13" t="s">
        <v>45</v>
      </c>
      <c r="F18" s="14" t="s">
        <v>176</v>
      </c>
      <c r="G18" s="14" t="s">
        <v>177</v>
      </c>
      <c r="H18" s="14" t="s">
        <v>178</v>
      </c>
      <c r="I18" s="14"/>
      <c r="J18" s="16" t="s">
        <v>51</v>
      </c>
      <c r="K18" s="14"/>
    </row>
    <row r="19" spans="1:11" ht="55.5" customHeight="1">
      <c r="A19" s="13" t="s">
        <v>179</v>
      </c>
      <c r="B19" s="14" t="s">
        <v>174</v>
      </c>
      <c r="C19" s="14" t="s">
        <v>180</v>
      </c>
      <c r="D19" s="15" t="s">
        <v>43</v>
      </c>
      <c r="E19" s="13" t="s">
        <v>46</v>
      </c>
      <c r="F19" s="14" t="s">
        <v>181</v>
      </c>
      <c r="G19" s="14" t="s">
        <v>109</v>
      </c>
      <c r="H19" s="14" t="s">
        <v>182</v>
      </c>
      <c r="I19" s="14"/>
      <c r="J19" s="16" t="s">
        <v>51</v>
      </c>
      <c r="K19" s="14"/>
    </row>
    <row r="20" spans="1:11" ht="42" customHeight="1">
      <c r="A20" s="13" t="s">
        <v>183</v>
      </c>
      <c r="B20" s="14" t="s">
        <v>174</v>
      </c>
      <c r="C20" s="14" t="s">
        <v>184</v>
      </c>
      <c r="D20" s="15" t="s">
        <v>43</v>
      </c>
      <c r="E20" s="13" t="s">
        <v>47</v>
      </c>
      <c r="F20" s="14" t="s">
        <v>185</v>
      </c>
      <c r="G20" s="14" t="s">
        <v>104</v>
      </c>
      <c r="H20" s="14" t="s">
        <v>186</v>
      </c>
      <c r="I20" s="14"/>
      <c r="J20" s="16" t="s">
        <v>51</v>
      </c>
      <c r="K20" s="14"/>
    </row>
    <row r="21" spans="1:11" ht="27.75" customHeight="1">
      <c r="A21" s="13" t="s">
        <v>187</v>
      </c>
      <c r="B21" s="14" t="s">
        <v>174</v>
      </c>
      <c r="C21" s="14" t="s">
        <v>188</v>
      </c>
      <c r="D21" s="15" t="s">
        <v>43</v>
      </c>
      <c r="E21" s="13" t="s">
        <v>47</v>
      </c>
      <c r="F21" s="14" t="s">
        <v>189</v>
      </c>
      <c r="G21" s="14" t="s">
        <v>109</v>
      </c>
      <c r="H21" s="14" t="s">
        <v>110</v>
      </c>
      <c r="I21" s="14"/>
      <c r="J21" s="16" t="s">
        <v>51</v>
      </c>
      <c r="K21" s="14"/>
    </row>
    <row r="22" spans="1:11" ht="42" customHeight="1">
      <c r="A22" s="17" t="s">
        <v>190</v>
      </c>
      <c r="B22" s="18" t="s">
        <v>174</v>
      </c>
      <c r="C22" s="18" t="s">
        <v>191</v>
      </c>
      <c r="D22" s="19" t="s">
        <v>44</v>
      </c>
      <c r="E22" s="17" t="s">
        <v>45</v>
      </c>
      <c r="F22" s="18" t="s">
        <v>192</v>
      </c>
      <c r="G22" s="18" t="s">
        <v>124</v>
      </c>
      <c r="H22" s="18" t="s">
        <v>125</v>
      </c>
      <c r="I22" s="18"/>
      <c r="J22" s="16" t="s">
        <v>51</v>
      </c>
      <c r="K22" s="18"/>
    </row>
    <row r="23" spans="1:11" ht="42" customHeight="1">
      <c r="A23" s="17" t="s">
        <v>193</v>
      </c>
      <c r="B23" s="18" t="s">
        <v>174</v>
      </c>
      <c r="C23" s="18" t="s">
        <v>194</v>
      </c>
      <c r="D23" s="19" t="s">
        <v>44</v>
      </c>
      <c r="E23" s="17" t="s">
        <v>45</v>
      </c>
      <c r="F23" s="18" t="s">
        <v>195</v>
      </c>
      <c r="G23" s="18" t="s">
        <v>196</v>
      </c>
      <c r="H23" s="18" t="s">
        <v>130</v>
      </c>
      <c r="I23" s="18"/>
      <c r="J23" s="16" t="s">
        <v>51</v>
      </c>
      <c r="K23" s="18"/>
    </row>
    <row r="24" spans="1:11" ht="55.5" customHeight="1">
      <c r="A24" s="17" t="s">
        <v>197</v>
      </c>
      <c r="B24" s="18" t="s">
        <v>174</v>
      </c>
      <c r="C24" s="18" t="s">
        <v>198</v>
      </c>
      <c r="D24" s="19" t="s">
        <v>44</v>
      </c>
      <c r="E24" s="17" t="s">
        <v>45</v>
      </c>
      <c r="F24" s="18" t="s">
        <v>199</v>
      </c>
      <c r="G24" s="18" t="s">
        <v>200</v>
      </c>
      <c r="H24" s="18" t="s">
        <v>201</v>
      </c>
      <c r="I24" s="18"/>
      <c r="J24" s="16" t="s">
        <v>51</v>
      </c>
      <c r="K24" s="18"/>
    </row>
    <row r="25" spans="1:11" ht="55.5" customHeight="1">
      <c r="A25" s="17" t="s">
        <v>202</v>
      </c>
      <c r="B25" s="18" t="s">
        <v>174</v>
      </c>
      <c r="C25" s="18" t="s">
        <v>203</v>
      </c>
      <c r="D25" s="19" t="s">
        <v>44</v>
      </c>
      <c r="E25" s="17" t="s">
        <v>45</v>
      </c>
      <c r="F25" s="18" t="s">
        <v>144</v>
      </c>
      <c r="G25" s="18" t="s">
        <v>204</v>
      </c>
      <c r="H25" s="18" t="s">
        <v>146</v>
      </c>
      <c r="I25" s="18"/>
      <c r="J25" s="16" t="s">
        <v>51</v>
      </c>
      <c r="K25" s="18"/>
    </row>
    <row r="26" spans="1:11" ht="42" customHeight="1">
      <c r="A26" s="17" t="s">
        <v>205</v>
      </c>
      <c r="B26" s="18" t="s">
        <v>174</v>
      </c>
      <c r="C26" s="18" t="s">
        <v>206</v>
      </c>
      <c r="D26" s="19" t="s">
        <v>44</v>
      </c>
      <c r="E26" s="17" t="s">
        <v>45</v>
      </c>
      <c r="F26" s="18" t="s">
        <v>207</v>
      </c>
      <c r="G26" s="18" t="s">
        <v>208</v>
      </c>
      <c r="H26" s="18" t="s">
        <v>209</v>
      </c>
      <c r="I26" s="18"/>
      <c r="J26" s="16" t="s">
        <v>51</v>
      </c>
      <c r="K26" s="18"/>
    </row>
    <row r="27" spans="1:11" ht="69.75" customHeight="1">
      <c r="A27" s="17" t="s">
        <v>210</v>
      </c>
      <c r="B27" s="18" t="s">
        <v>174</v>
      </c>
      <c r="C27" s="18" t="s">
        <v>211</v>
      </c>
      <c r="D27" s="19" t="s">
        <v>44</v>
      </c>
      <c r="E27" s="17" t="s">
        <v>45</v>
      </c>
      <c r="F27" s="18" t="s">
        <v>212</v>
      </c>
      <c r="G27" s="18" t="s">
        <v>213</v>
      </c>
      <c r="H27" s="18" t="s">
        <v>214</v>
      </c>
      <c r="I27" s="18"/>
      <c r="J27" s="16" t="s">
        <v>51</v>
      </c>
      <c r="K27" s="18" t="s">
        <v>215</v>
      </c>
    </row>
    <row r="28" spans="1:11" ht="69.75" customHeight="1">
      <c r="A28" s="13" t="s">
        <v>216</v>
      </c>
      <c r="B28" s="14" t="s">
        <v>217</v>
      </c>
      <c r="C28" s="14" t="s">
        <v>218</v>
      </c>
      <c r="D28" s="15" t="s">
        <v>43</v>
      </c>
      <c r="E28" s="13" t="s">
        <v>45</v>
      </c>
      <c r="F28" s="14" t="s">
        <v>219</v>
      </c>
      <c r="G28" s="14" t="s">
        <v>220</v>
      </c>
      <c r="H28" s="14" t="s">
        <v>221</v>
      </c>
      <c r="I28" s="14"/>
      <c r="J28" s="16" t="s">
        <v>51</v>
      </c>
      <c r="K28" s="14"/>
    </row>
    <row r="29" spans="1:11" ht="27.75" customHeight="1">
      <c r="A29" s="13" t="s">
        <v>222</v>
      </c>
      <c r="B29" s="14" t="s">
        <v>217</v>
      </c>
      <c r="C29" s="14" t="s">
        <v>223</v>
      </c>
      <c r="D29" s="15" t="s">
        <v>43</v>
      </c>
      <c r="E29" s="13" t="s">
        <v>46</v>
      </c>
      <c r="F29" s="14" t="s">
        <v>224</v>
      </c>
      <c r="G29" s="14" t="s">
        <v>109</v>
      </c>
      <c r="H29" s="14" t="s">
        <v>225</v>
      </c>
      <c r="I29" s="14"/>
      <c r="J29" s="16" t="s">
        <v>51</v>
      </c>
      <c r="K29" s="14"/>
    </row>
    <row r="30" spans="1:11" ht="42" customHeight="1">
      <c r="A30" s="13" t="s">
        <v>226</v>
      </c>
      <c r="B30" s="14" t="s">
        <v>217</v>
      </c>
      <c r="C30" s="14" t="s">
        <v>227</v>
      </c>
      <c r="D30" s="15" t="s">
        <v>43</v>
      </c>
      <c r="E30" s="13" t="s">
        <v>45</v>
      </c>
      <c r="F30" s="14" t="s">
        <v>228</v>
      </c>
      <c r="G30" s="14" t="s">
        <v>220</v>
      </c>
      <c r="H30" s="14" t="s">
        <v>229</v>
      </c>
      <c r="I30" s="14"/>
      <c r="J30" s="16" t="s">
        <v>51</v>
      </c>
      <c r="K30" s="14"/>
    </row>
    <row r="31" spans="1:11" ht="69.75" customHeight="1">
      <c r="A31" s="17" t="s">
        <v>230</v>
      </c>
      <c r="B31" s="18" t="s">
        <v>217</v>
      </c>
      <c r="C31" s="18" t="s">
        <v>231</v>
      </c>
      <c r="D31" s="19" t="s">
        <v>44</v>
      </c>
      <c r="E31" s="17" t="s">
        <v>45</v>
      </c>
      <c r="F31" s="18" t="s">
        <v>232</v>
      </c>
      <c r="G31" s="18" t="s">
        <v>220</v>
      </c>
      <c r="H31" s="18" t="s">
        <v>233</v>
      </c>
      <c r="I31" s="18"/>
      <c r="J31" s="16" t="s">
        <v>51</v>
      </c>
      <c r="K31" s="18" t="s">
        <v>234</v>
      </c>
    </row>
    <row r="32" spans="1:11" ht="55.5" customHeight="1">
      <c r="A32" s="17" t="s">
        <v>235</v>
      </c>
      <c r="B32" s="18" t="s">
        <v>217</v>
      </c>
      <c r="C32" s="18" t="s">
        <v>236</v>
      </c>
      <c r="D32" s="19" t="s">
        <v>44</v>
      </c>
      <c r="E32" s="17" t="s">
        <v>46</v>
      </c>
      <c r="F32" s="18" t="s">
        <v>237</v>
      </c>
      <c r="G32" s="18" t="s">
        <v>109</v>
      </c>
      <c r="H32" s="18" t="s">
        <v>238</v>
      </c>
      <c r="I32" s="18"/>
      <c r="J32" s="16" t="s">
        <v>51</v>
      </c>
      <c r="K32" s="18" t="s">
        <v>239</v>
      </c>
    </row>
    <row r="33" spans="1:11" ht="42" customHeight="1">
      <c r="A33" s="13" t="s">
        <v>240</v>
      </c>
      <c r="B33" s="14" t="s">
        <v>217</v>
      </c>
      <c r="C33" s="14" t="s">
        <v>241</v>
      </c>
      <c r="D33" s="15" t="s">
        <v>43</v>
      </c>
      <c r="E33" s="13" t="s">
        <v>47</v>
      </c>
      <c r="F33" s="14" t="s">
        <v>242</v>
      </c>
      <c r="G33" s="14" t="s">
        <v>220</v>
      </c>
      <c r="H33" s="14" t="s">
        <v>243</v>
      </c>
      <c r="I33" s="14"/>
      <c r="J33" s="16" t="s">
        <v>51</v>
      </c>
      <c r="K33" s="14"/>
    </row>
    <row r="34" spans="1:11" ht="42" customHeight="1">
      <c r="A34" s="17" t="s">
        <v>244</v>
      </c>
      <c r="B34" s="18" t="s">
        <v>217</v>
      </c>
      <c r="C34" s="18" t="s">
        <v>245</v>
      </c>
      <c r="D34" s="19" t="s">
        <v>44</v>
      </c>
      <c r="E34" s="17" t="s">
        <v>46</v>
      </c>
      <c r="F34" s="18" t="s">
        <v>246</v>
      </c>
      <c r="G34" s="18" t="s">
        <v>109</v>
      </c>
      <c r="H34" s="18" t="s">
        <v>247</v>
      </c>
      <c r="I34" s="18"/>
      <c r="J34" s="16" t="s">
        <v>51</v>
      </c>
      <c r="K34" s="18"/>
    </row>
    <row r="35" spans="1:11" ht="55.5" customHeight="1">
      <c r="A35" s="13" t="s">
        <v>248</v>
      </c>
      <c r="B35" s="14" t="s">
        <v>217</v>
      </c>
      <c r="C35" s="14" t="s">
        <v>249</v>
      </c>
      <c r="D35" s="15" t="s">
        <v>43</v>
      </c>
      <c r="E35" s="13" t="s">
        <v>47</v>
      </c>
      <c r="F35" s="14" t="s">
        <v>250</v>
      </c>
      <c r="G35" s="14" t="s">
        <v>109</v>
      </c>
      <c r="H35" s="14" t="s">
        <v>251</v>
      </c>
      <c r="I35" s="14"/>
      <c r="J35" s="16" t="s">
        <v>51</v>
      </c>
      <c r="K35" s="14"/>
    </row>
    <row r="36" spans="1:11" ht="55.5" customHeight="1">
      <c r="A36" s="13" t="s">
        <v>252</v>
      </c>
      <c r="B36" s="14" t="s">
        <v>253</v>
      </c>
      <c r="C36" s="14" t="s">
        <v>254</v>
      </c>
      <c r="D36" s="15" t="s">
        <v>43</v>
      </c>
      <c r="E36" s="13" t="s">
        <v>45</v>
      </c>
      <c r="F36" s="14" t="s">
        <v>255</v>
      </c>
      <c r="G36" s="14" t="s">
        <v>220</v>
      </c>
      <c r="H36" s="14" t="s">
        <v>256</v>
      </c>
      <c r="I36" s="14"/>
      <c r="J36" s="16" t="s">
        <v>51</v>
      </c>
      <c r="K36" s="14"/>
    </row>
    <row r="37" spans="1:11" ht="27.75" customHeight="1">
      <c r="A37" s="13" t="s">
        <v>257</v>
      </c>
      <c r="B37" s="14" t="s">
        <v>253</v>
      </c>
      <c r="C37" s="14" t="s">
        <v>258</v>
      </c>
      <c r="D37" s="15" t="s">
        <v>43</v>
      </c>
      <c r="E37" s="13" t="s">
        <v>46</v>
      </c>
      <c r="F37" s="14" t="s">
        <v>259</v>
      </c>
      <c r="G37" s="14" t="s">
        <v>109</v>
      </c>
      <c r="H37" s="14" t="s">
        <v>260</v>
      </c>
      <c r="I37" s="14"/>
      <c r="J37" s="16" t="s">
        <v>51</v>
      </c>
      <c r="K37" s="14"/>
    </row>
    <row r="38" spans="1:11" ht="55.5" customHeight="1">
      <c r="A38" s="17" t="s">
        <v>261</v>
      </c>
      <c r="B38" s="18" t="s">
        <v>253</v>
      </c>
      <c r="C38" s="18" t="s">
        <v>262</v>
      </c>
      <c r="D38" s="19" t="s">
        <v>44</v>
      </c>
      <c r="E38" s="17" t="s">
        <v>46</v>
      </c>
      <c r="F38" s="18" t="s">
        <v>263</v>
      </c>
      <c r="G38" s="18" t="s">
        <v>264</v>
      </c>
      <c r="H38" s="18" t="s">
        <v>265</v>
      </c>
      <c r="I38" s="18"/>
      <c r="J38" s="16" t="s">
        <v>51</v>
      </c>
      <c r="K38" s="18"/>
    </row>
    <row r="39" spans="1:11" ht="55.5" customHeight="1">
      <c r="A39" s="17" t="s">
        <v>266</v>
      </c>
      <c r="B39" s="18" t="s">
        <v>253</v>
      </c>
      <c r="C39" s="18" t="s">
        <v>267</v>
      </c>
      <c r="D39" s="19" t="s">
        <v>44</v>
      </c>
      <c r="E39" s="17" t="s">
        <v>46</v>
      </c>
      <c r="F39" s="18" t="s">
        <v>268</v>
      </c>
      <c r="G39" s="18" t="s">
        <v>269</v>
      </c>
      <c r="H39" s="18" t="s">
        <v>270</v>
      </c>
      <c r="I39" s="18"/>
      <c r="J39" s="16" t="s">
        <v>51</v>
      </c>
      <c r="K39" s="18" t="s">
        <v>271</v>
      </c>
    </row>
    <row r="40" spans="1:11" ht="42" customHeight="1">
      <c r="A40" s="17" t="s">
        <v>272</v>
      </c>
      <c r="B40" s="18" t="s">
        <v>253</v>
      </c>
      <c r="C40" s="18" t="s">
        <v>273</v>
      </c>
      <c r="D40" s="19" t="s">
        <v>44</v>
      </c>
      <c r="E40" s="17" t="s">
        <v>45</v>
      </c>
      <c r="F40" s="18" t="s">
        <v>274</v>
      </c>
      <c r="G40" s="18" t="s">
        <v>275</v>
      </c>
      <c r="H40" s="18" t="s">
        <v>276</v>
      </c>
      <c r="I40" s="18"/>
      <c r="J40" s="16" t="s">
        <v>51</v>
      </c>
      <c r="K40" s="18"/>
    </row>
    <row r="41" spans="1:11" ht="55.5" customHeight="1">
      <c r="A41" s="13" t="s">
        <v>277</v>
      </c>
      <c r="B41" s="14" t="s">
        <v>253</v>
      </c>
      <c r="C41" s="14" t="s">
        <v>278</v>
      </c>
      <c r="D41" s="15" t="s">
        <v>43</v>
      </c>
      <c r="E41" s="13" t="s">
        <v>47</v>
      </c>
      <c r="F41" s="14" t="s">
        <v>279</v>
      </c>
      <c r="G41" s="14" t="s">
        <v>109</v>
      </c>
      <c r="H41" s="14" t="s">
        <v>280</v>
      </c>
      <c r="I41" s="14"/>
      <c r="J41" s="16" t="s">
        <v>51</v>
      </c>
      <c r="K41" s="14"/>
    </row>
  </sheetData>
  <autoFilter ref="A1:K41" xr:uid="{00000000-0009-0000-0000-000001000000}"/>
  <dataValidations count="3">
    <dataValidation type="list" allowBlank="1" sqref="D2:D41" xr:uid="{00000000-0002-0000-0100-000000000000}">
      <formula1>"Positive,Negative,Functional - Positive,Functional - Negative,Validation - Positive,Validation - Negative,Defect - Functional,Defect - Validation"</formula1>
      <formula2>0</formula2>
    </dataValidation>
    <dataValidation type="list" allowBlank="1" sqref="E2:E41" xr:uid="{00000000-0002-0000-0100-000001000000}">
      <formula1>"High,Medium,Low"</formula1>
      <formula2>0</formula2>
    </dataValidation>
    <dataValidation type="list" allowBlank="1" sqref="J2:J41" xr:uid="{00000000-0002-0000-01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4"/>
  <sheetViews>
    <sheetView topLeftCell="H32" zoomScaleNormal="100" workbookViewId="0">
      <selection activeCell="K34" sqref="K34"/>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97.5" customHeight="1">
      <c r="A2" s="13" t="s">
        <v>281</v>
      </c>
      <c r="B2" s="14" t="s">
        <v>55</v>
      </c>
      <c r="C2" s="14" t="s">
        <v>282</v>
      </c>
      <c r="D2" s="15" t="s">
        <v>43</v>
      </c>
      <c r="E2" s="13" t="s">
        <v>45</v>
      </c>
      <c r="F2" s="14" t="s">
        <v>283</v>
      </c>
      <c r="G2" s="14" t="s">
        <v>284</v>
      </c>
      <c r="H2" s="14" t="s">
        <v>285</v>
      </c>
      <c r="I2" s="14" t="s">
        <v>286</v>
      </c>
      <c r="J2" s="16" t="s">
        <v>48</v>
      </c>
      <c r="K2" s="14"/>
    </row>
    <row r="3" spans="1:11" ht="56.25" customHeight="1">
      <c r="A3" s="13" t="s">
        <v>287</v>
      </c>
      <c r="B3" s="14" t="s">
        <v>55</v>
      </c>
      <c r="C3" s="14" t="s">
        <v>288</v>
      </c>
      <c r="D3" s="15" t="s">
        <v>43</v>
      </c>
      <c r="E3" s="13" t="s">
        <v>47</v>
      </c>
      <c r="F3" s="14" t="s">
        <v>289</v>
      </c>
      <c r="G3" s="14" t="s">
        <v>109</v>
      </c>
      <c r="H3" s="14" t="s">
        <v>290</v>
      </c>
      <c r="I3" s="14" t="s">
        <v>291</v>
      </c>
      <c r="J3" s="16" t="s">
        <v>48</v>
      </c>
      <c r="K3" s="14"/>
    </row>
    <row r="4" spans="1:11" ht="69.75" customHeight="1">
      <c r="A4" s="13" t="s">
        <v>292</v>
      </c>
      <c r="B4" s="14" t="s">
        <v>55</v>
      </c>
      <c r="C4" s="14" t="s">
        <v>293</v>
      </c>
      <c r="D4" s="15" t="s">
        <v>43</v>
      </c>
      <c r="E4" s="13" t="s">
        <v>47</v>
      </c>
      <c r="F4" s="14" t="s">
        <v>294</v>
      </c>
      <c r="G4" s="14" t="s">
        <v>104</v>
      </c>
      <c r="H4" s="14" t="s">
        <v>295</v>
      </c>
      <c r="I4" s="14" t="s">
        <v>296</v>
      </c>
      <c r="J4" s="16" t="s">
        <v>48</v>
      </c>
      <c r="K4" s="14"/>
    </row>
    <row r="5" spans="1:11" ht="27.75" customHeight="1">
      <c r="A5" s="13" t="s">
        <v>297</v>
      </c>
      <c r="B5" s="14" t="s">
        <v>55</v>
      </c>
      <c r="C5" s="14" t="s">
        <v>298</v>
      </c>
      <c r="D5" s="15" t="s">
        <v>43</v>
      </c>
      <c r="E5" s="13" t="s">
        <v>47</v>
      </c>
      <c r="F5" s="14" t="s">
        <v>299</v>
      </c>
      <c r="G5" s="14" t="s">
        <v>109</v>
      </c>
      <c r="H5" s="14" t="s">
        <v>300</v>
      </c>
      <c r="I5" s="14" t="s">
        <v>301</v>
      </c>
      <c r="J5" s="16" t="s">
        <v>48</v>
      </c>
      <c r="K5" s="14"/>
    </row>
    <row r="6" spans="1:11" ht="55.5" customHeight="1">
      <c r="A6" s="13" t="s">
        <v>302</v>
      </c>
      <c r="B6" s="14" t="s">
        <v>55</v>
      </c>
      <c r="C6" s="14" t="s">
        <v>303</v>
      </c>
      <c r="D6" s="15" t="s">
        <v>43</v>
      </c>
      <c r="E6" s="13" t="s">
        <v>45</v>
      </c>
      <c r="F6" s="14" t="s">
        <v>304</v>
      </c>
      <c r="G6" s="14" t="s">
        <v>305</v>
      </c>
      <c r="H6" s="14" t="s">
        <v>306</v>
      </c>
      <c r="I6" s="14" t="s">
        <v>307</v>
      </c>
      <c r="J6" s="16" t="s">
        <v>48</v>
      </c>
      <c r="K6" s="14"/>
    </row>
    <row r="7" spans="1:11" ht="57" customHeight="1">
      <c r="A7" s="17" t="s">
        <v>308</v>
      </c>
      <c r="B7" s="18" t="s">
        <v>55</v>
      </c>
      <c r="C7" s="18" t="s">
        <v>309</v>
      </c>
      <c r="D7" s="19" t="s">
        <v>44</v>
      </c>
      <c r="E7" s="17" t="s">
        <v>45</v>
      </c>
      <c r="F7" s="18" t="s">
        <v>310</v>
      </c>
      <c r="G7" s="18" t="s">
        <v>311</v>
      </c>
      <c r="H7" s="18" t="s">
        <v>312</v>
      </c>
      <c r="I7" s="18" t="s">
        <v>313</v>
      </c>
      <c r="J7" s="16" t="s">
        <v>48</v>
      </c>
      <c r="K7" s="18"/>
    </row>
    <row r="8" spans="1:11" ht="55.5" customHeight="1">
      <c r="A8" s="17" t="s">
        <v>314</v>
      </c>
      <c r="B8" s="18" t="s">
        <v>55</v>
      </c>
      <c r="C8" s="18" t="s">
        <v>315</v>
      </c>
      <c r="D8" s="19" t="s">
        <v>44</v>
      </c>
      <c r="E8" s="17" t="s">
        <v>45</v>
      </c>
      <c r="F8" s="18" t="s">
        <v>316</v>
      </c>
      <c r="G8" s="18" t="s">
        <v>317</v>
      </c>
      <c r="H8" s="18" t="s">
        <v>318</v>
      </c>
      <c r="I8" s="18" t="s">
        <v>313</v>
      </c>
      <c r="J8" s="16" t="s">
        <v>48</v>
      </c>
      <c r="K8" s="18"/>
    </row>
    <row r="9" spans="1:11" ht="42" customHeight="1">
      <c r="A9" s="17" t="s">
        <v>319</v>
      </c>
      <c r="B9" s="18" t="s">
        <v>55</v>
      </c>
      <c r="C9" s="18" t="s">
        <v>320</v>
      </c>
      <c r="D9" s="19" t="s">
        <v>44</v>
      </c>
      <c r="E9" s="17" t="s">
        <v>45</v>
      </c>
      <c r="F9" s="18" t="s">
        <v>321</v>
      </c>
      <c r="G9" s="18" t="s">
        <v>124</v>
      </c>
      <c r="H9" s="18" t="s">
        <v>322</v>
      </c>
      <c r="I9" s="18" t="s">
        <v>323</v>
      </c>
      <c r="J9" s="16" t="s">
        <v>48</v>
      </c>
      <c r="K9" s="18"/>
    </row>
    <row r="10" spans="1:11" ht="42" customHeight="1">
      <c r="A10" s="17" t="s">
        <v>324</v>
      </c>
      <c r="B10" s="18" t="s">
        <v>55</v>
      </c>
      <c r="C10" s="18" t="s">
        <v>325</v>
      </c>
      <c r="D10" s="19" t="s">
        <v>44</v>
      </c>
      <c r="E10" s="17" t="s">
        <v>46</v>
      </c>
      <c r="F10" s="18" t="s">
        <v>326</v>
      </c>
      <c r="G10" s="18" t="s">
        <v>327</v>
      </c>
      <c r="H10" s="18" t="s">
        <v>328</v>
      </c>
      <c r="I10" s="18" t="s">
        <v>313</v>
      </c>
      <c r="J10" s="16" t="s">
        <v>48</v>
      </c>
      <c r="K10" s="18"/>
    </row>
    <row r="11" spans="1:11" ht="55.5" customHeight="1">
      <c r="A11" s="13" t="s">
        <v>329</v>
      </c>
      <c r="B11" s="14" t="s">
        <v>330</v>
      </c>
      <c r="C11" s="14" t="s">
        <v>331</v>
      </c>
      <c r="D11" s="15" t="s">
        <v>43</v>
      </c>
      <c r="E11" s="13" t="s">
        <v>45</v>
      </c>
      <c r="F11" s="14" t="s">
        <v>332</v>
      </c>
      <c r="G11" s="14" t="s">
        <v>333</v>
      </c>
      <c r="H11" s="14" t="s">
        <v>334</v>
      </c>
      <c r="I11" s="14" t="s">
        <v>313</v>
      </c>
      <c r="J11" s="16" t="s">
        <v>49</v>
      </c>
      <c r="K11" s="14"/>
    </row>
    <row r="12" spans="1:11" ht="55.5" customHeight="1">
      <c r="A12" s="17" t="s">
        <v>335</v>
      </c>
      <c r="B12" s="18" t="s">
        <v>330</v>
      </c>
      <c r="C12" s="18" t="s">
        <v>336</v>
      </c>
      <c r="D12" s="19" t="s">
        <v>44</v>
      </c>
      <c r="E12" s="17" t="s">
        <v>45</v>
      </c>
      <c r="F12" s="18" t="s">
        <v>337</v>
      </c>
      <c r="G12" s="18" t="s">
        <v>338</v>
      </c>
      <c r="H12" s="18" t="s">
        <v>339</v>
      </c>
      <c r="I12" s="18" t="s">
        <v>313</v>
      </c>
      <c r="J12" s="16" t="s">
        <v>49</v>
      </c>
      <c r="K12" s="18"/>
    </row>
    <row r="13" spans="1:11" ht="84" customHeight="1">
      <c r="A13" s="13" t="s">
        <v>340</v>
      </c>
      <c r="B13" s="14" t="s">
        <v>330</v>
      </c>
      <c r="C13" s="14" t="s">
        <v>341</v>
      </c>
      <c r="D13" s="15" t="s">
        <v>43</v>
      </c>
      <c r="E13" s="13" t="s">
        <v>45</v>
      </c>
      <c r="F13" s="14" t="s">
        <v>342</v>
      </c>
      <c r="G13" s="14" t="s">
        <v>338</v>
      </c>
      <c r="H13" s="14" t="s">
        <v>343</v>
      </c>
      <c r="I13" s="14" t="s">
        <v>344</v>
      </c>
      <c r="J13" s="16" t="s">
        <v>48</v>
      </c>
      <c r="K13" s="14"/>
    </row>
    <row r="14" spans="1:11" ht="55.5" customHeight="1">
      <c r="A14" s="17" t="s">
        <v>345</v>
      </c>
      <c r="B14" s="18" t="s">
        <v>330</v>
      </c>
      <c r="C14" s="18" t="s">
        <v>346</v>
      </c>
      <c r="D14" s="19" t="s">
        <v>44</v>
      </c>
      <c r="E14" s="17" t="s">
        <v>46</v>
      </c>
      <c r="F14" s="18" t="s">
        <v>347</v>
      </c>
      <c r="G14" s="18" t="s">
        <v>348</v>
      </c>
      <c r="H14" s="18" t="s">
        <v>349</v>
      </c>
      <c r="I14" s="18" t="s">
        <v>313</v>
      </c>
      <c r="J14" s="16" t="s">
        <v>48</v>
      </c>
      <c r="K14" s="18"/>
    </row>
    <row r="15" spans="1:11" ht="64.5" customHeight="1">
      <c r="A15" s="17" t="s">
        <v>350</v>
      </c>
      <c r="B15" s="18" t="s">
        <v>330</v>
      </c>
      <c r="C15" s="18" t="s">
        <v>351</v>
      </c>
      <c r="D15" s="19" t="s">
        <v>44</v>
      </c>
      <c r="E15" s="17" t="s">
        <v>45</v>
      </c>
      <c r="F15" s="18" t="s">
        <v>352</v>
      </c>
      <c r="G15" s="18" t="s">
        <v>338</v>
      </c>
      <c r="H15" s="18" t="s">
        <v>353</v>
      </c>
      <c r="I15" s="18" t="s">
        <v>354</v>
      </c>
      <c r="J15" s="16" t="s">
        <v>49</v>
      </c>
      <c r="K15" s="18"/>
    </row>
    <row r="16" spans="1:11" ht="55.5" customHeight="1">
      <c r="A16" s="13" t="s">
        <v>355</v>
      </c>
      <c r="B16" s="14" t="s">
        <v>356</v>
      </c>
      <c r="C16" s="14" t="s">
        <v>357</v>
      </c>
      <c r="D16" s="15" t="s">
        <v>43</v>
      </c>
      <c r="E16" s="13" t="s">
        <v>45</v>
      </c>
      <c r="F16" s="14" t="s">
        <v>358</v>
      </c>
      <c r="G16" s="14" t="s">
        <v>284</v>
      </c>
      <c r="H16" s="14" t="s">
        <v>359</v>
      </c>
      <c r="I16" s="14" t="s">
        <v>360</v>
      </c>
      <c r="J16" s="16" t="s">
        <v>48</v>
      </c>
      <c r="K16" s="14"/>
    </row>
    <row r="17" spans="1:11" ht="69.75" customHeight="1">
      <c r="A17" s="13" t="s">
        <v>361</v>
      </c>
      <c r="B17" s="14" t="s">
        <v>356</v>
      </c>
      <c r="C17" s="14" t="s">
        <v>362</v>
      </c>
      <c r="D17" s="15" t="s">
        <v>43</v>
      </c>
      <c r="E17" s="13" t="s">
        <v>45</v>
      </c>
      <c r="F17" s="14" t="s">
        <v>363</v>
      </c>
      <c r="G17" s="14" t="s">
        <v>364</v>
      </c>
      <c r="H17" s="14" t="s">
        <v>365</v>
      </c>
      <c r="I17" s="14" t="s">
        <v>366</v>
      </c>
      <c r="J17" s="16" t="s">
        <v>48</v>
      </c>
      <c r="K17" s="14"/>
    </row>
    <row r="18" spans="1:11" ht="55.5" customHeight="1">
      <c r="A18" s="13" t="s">
        <v>367</v>
      </c>
      <c r="B18" s="14" t="s">
        <v>356</v>
      </c>
      <c r="C18" s="14" t="s">
        <v>368</v>
      </c>
      <c r="D18" s="15" t="s">
        <v>43</v>
      </c>
      <c r="E18" s="13" t="s">
        <v>46</v>
      </c>
      <c r="F18" s="14" t="s">
        <v>369</v>
      </c>
      <c r="G18" s="14" t="s">
        <v>370</v>
      </c>
      <c r="H18" s="14" t="s">
        <v>371</v>
      </c>
      <c r="I18" s="14" t="s">
        <v>372</v>
      </c>
      <c r="J18" s="16" t="s">
        <v>49</v>
      </c>
      <c r="K18" s="14"/>
    </row>
    <row r="19" spans="1:11" ht="75" customHeight="1">
      <c r="A19" s="13" t="s">
        <v>373</v>
      </c>
      <c r="B19" s="14" t="s">
        <v>356</v>
      </c>
      <c r="C19" s="14" t="s">
        <v>374</v>
      </c>
      <c r="D19" s="15" t="s">
        <v>43</v>
      </c>
      <c r="E19" s="13" t="s">
        <v>47</v>
      </c>
      <c r="F19" s="14" t="s">
        <v>375</v>
      </c>
      <c r="G19" s="14" t="s">
        <v>376</v>
      </c>
      <c r="H19" s="14" t="s">
        <v>377</v>
      </c>
      <c r="I19" s="14" t="s">
        <v>378</v>
      </c>
      <c r="J19" s="16" t="s">
        <v>48</v>
      </c>
      <c r="K19" s="14"/>
    </row>
    <row r="20" spans="1:11" ht="76.5" customHeight="1">
      <c r="A20" s="13" t="s">
        <v>379</v>
      </c>
      <c r="B20" s="14" t="s">
        <v>356</v>
      </c>
      <c r="C20" s="14" t="s">
        <v>380</v>
      </c>
      <c r="D20" s="15" t="s">
        <v>43</v>
      </c>
      <c r="E20" s="13" t="s">
        <v>46</v>
      </c>
      <c r="F20" s="14" t="s">
        <v>381</v>
      </c>
      <c r="G20" s="14" t="s">
        <v>109</v>
      </c>
      <c r="H20" s="14" t="s">
        <v>382</v>
      </c>
      <c r="I20" s="14" t="s">
        <v>383</v>
      </c>
      <c r="J20" s="16" t="s">
        <v>49</v>
      </c>
      <c r="K20" s="14"/>
    </row>
    <row r="21" spans="1:11" ht="82.5" customHeight="1">
      <c r="A21" s="13" t="s">
        <v>384</v>
      </c>
      <c r="B21" s="14" t="s">
        <v>356</v>
      </c>
      <c r="C21" s="14" t="s">
        <v>385</v>
      </c>
      <c r="D21" s="15" t="s">
        <v>43</v>
      </c>
      <c r="E21" s="13" t="s">
        <v>47</v>
      </c>
      <c r="F21" s="14" t="s">
        <v>386</v>
      </c>
      <c r="G21" s="14" t="s">
        <v>387</v>
      </c>
      <c r="H21" s="14" t="s">
        <v>388</v>
      </c>
      <c r="I21" s="14" t="s">
        <v>389</v>
      </c>
      <c r="J21" s="16" t="s">
        <v>48</v>
      </c>
      <c r="K21" s="14"/>
    </row>
    <row r="22" spans="1:11" ht="55.5" customHeight="1">
      <c r="A22" s="13" t="s">
        <v>390</v>
      </c>
      <c r="B22" s="14" t="s">
        <v>356</v>
      </c>
      <c r="C22" s="14" t="s">
        <v>391</v>
      </c>
      <c r="D22" s="15" t="s">
        <v>43</v>
      </c>
      <c r="E22" s="13" t="s">
        <v>45</v>
      </c>
      <c r="F22" s="14" t="s">
        <v>392</v>
      </c>
      <c r="G22" s="14" t="s">
        <v>393</v>
      </c>
      <c r="H22" s="14" t="s">
        <v>394</v>
      </c>
      <c r="I22" s="14" t="s">
        <v>395</v>
      </c>
      <c r="J22" s="16" t="s">
        <v>48</v>
      </c>
      <c r="K22" s="14"/>
    </row>
    <row r="23" spans="1:11" ht="77.25" customHeight="1">
      <c r="A23" s="17" t="s">
        <v>396</v>
      </c>
      <c r="B23" s="18" t="s">
        <v>356</v>
      </c>
      <c r="C23" s="18" t="s">
        <v>397</v>
      </c>
      <c r="D23" s="19" t="s">
        <v>44</v>
      </c>
      <c r="E23" s="17" t="s">
        <v>45</v>
      </c>
      <c r="F23" s="18" t="s">
        <v>398</v>
      </c>
      <c r="G23" s="18" t="s">
        <v>399</v>
      </c>
      <c r="H23" s="18" t="s">
        <v>400</v>
      </c>
      <c r="I23" s="18" t="s">
        <v>401</v>
      </c>
      <c r="J23" s="16" t="s">
        <v>48</v>
      </c>
      <c r="K23" s="18"/>
    </row>
    <row r="24" spans="1:11" ht="55.5" customHeight="1">
      <c r="A24" s="17" t="s">
        <v>402</v>
      </c>
      <c r="B24" s="18" t="s">
        <v>356</v>
      </c>
      <c r="C24" s="18" t="s">
        <v>403</v>
      </c>
      <c r="D24" s="19" t="s">
        <v>44</v>
      </c>
      <c r="E24" s="17" t="s">
        <v>45</v>
      </c>
      <c r="F24" s="18" t="s">
        <v>404</v>
      </c>
      <c r="G24" s="18" t="s">
        <v>405</v>
      </c>
      <c r="H24" s="18" t="s">
        <v>406</v>
      </c>
      <c r="I24" s="18" t="s">
        <v>407</v>
      </c>
      <c r="J24" s="16" t="s">
        <v>48</v>
      </c>
      <c r="K24" s="18"/>
    </row>
    <row r="25" spans="1:11" ht="42" customHeight="1">
      <c r="A25" s="17" t="s">
        <v>408</v>
      </c>
      <c r="B25" s="18" t="s">
        <v>356</v>
      </c>
      <c r="C25" s="18" t="s">
        <v>409</v>
      </c>
      <c r="D25" s="19" t="s">
        <v>44</v>
      </c>
      <c r="E25" s="17" t="s">
        <v>45</v>
      </c>
      <c r="F25" s="18" t="s">
        <v>410</v>
      </c>
      <c r="G25" s="18" t="s">
        <v>411</v>
      </c>
      <c r="H25" s="18" t="s">
        <v>412</v>
      </c>
      <c r="I25" s="18" t="s">
        <v>413</v>
      </c>
      <c r="J25" s="16" t="s">
        <v>48</v>
      </c>
      <c r="K25" s="18" t="s">
        <v>414</v>
      </c>
    </row>
    <row r="26" spans="1:11" ht="52.5" customHeight="1">
      <c r="A26" s="17" t="s">
        <v>415</v>
      </c>
      <c r="B26" s="18" t="s">
        <v>356</v>
      </c>
      <c r="C26" s="18" t="s">
        <v>416</v>
      </c>
      <c r="D26" s="19" t="s">
        <v>44</v>
      </c>
      <c r="E26" s="17" t="s">
        <v>46</v>
      </c>
      <c r="F26" s="18" t="s">
        <v>417</v>
      </c>
      <c r="G26" s="18" t="s">
        <v>109</v>
      </c>
      <c r="H26" s="18" t="s">
        <v>418</v>
      </c>
      <c r="I26" s="18" t="s">
        <v>419</v>
      </c>
      <c r="J26" s="16" t="s">
        <v>48</v>
      </c>
      <c r="K26" s="18"/>
    </row>
    <row r="27" spans="1:11" ht="76.5" customHeight="1">
      <c r="A27" s="17" t="s">
        <v>420</v>
      </c>
      <c r="B27" s="18" t="s">
        <v>356</v>
      </c>
      <c r="C27" s="18" t="s">
        <v>421</v>
      </c>
      <c r="D27" s="19" t="s">
        <v>44</v>
      </c>
      <c r="E27" s="17" t="s">
        <v>46</v>
      </c>
      <c r="F27" s="18" t="s">
        <v>422</v>
      </c>
      <c r="G27" s="18" t="s">
        <v>423</v>
      </c>
      <c r="H27" s="18" t="s">
        <v>424</v>
      </c>
      <c r="I27" s="18" t="s">
        <v>425</v>
      </c>
      <c r="J27" s="16" t="s">
        <v>48</v>
      </c>
      <c r="K27" s="18"/>
    </row>
    <row r="28" spans="1:11" ht="63.75" customHeight="1">
      <c r="A28" s="17" t="s">
        <v>426</v>
      </c>
      <c r="B28" s="18" t="s">
        <v>356</v>
      </c>
      <c r="C28" s="18" t="s">
        <v>427</v>
      </c>
      <c r="D28" s="19" t="s">
        <v>44</v>
      </c>
      <c r="E28" s="17" t="s">
        <v>46</v>
      </c>
      <c r="F28" s="18" t="s">
        <v>428</v>
      </c>
      <c r="G28" s="18" t="s">
        <v>429</v>
      </c>
      <c r="H28" s="18" t="s">
        <v>430</v>
      </c>
      <c r="I28" s="18" t="s">
        <v>431</v>
      </c>
      <c r="J28" s="16" t="s">
        <v>48</v>
      </c>
      <c r="K28" s="18"/>
    </row>
    <row r="29" spans="1:11" ht="129.75" customHeight="1">
      <c r="A29" s="17" t="s">
        <v>432</v>
      </c>
      <c r="B29" s="18" t="s">
        <v>356</v>
      </c>
      <c r="C29" s="18" t="s">
        <v>433</v>
      </c>
      <c r="D29" s="19" t="s">
        <v>44</v>
      </c>
      <c r="E29" s="17" t="s">
        <v>46</v>
      </c>
      <c r="F29" s="18" t="s">
        <v>434</v>
      </c>
      <c r="G29" s="18" t="s">
        <v>220</v>
      </c>
      <c r="H29" s="18" t="s">
        <v>435</v>
      </c>
      <c r="I29" s="18" t="s">
        <v>436</v>
      </c>
      <c r="J29" s="16" t="s">
        <v>48</v>
      </c>
      <c r="K29" s="18"/>
    </row>
    <row r="30" spans="1:11" ht="101.25" customHeight="1">
      <c r="A30" s="17" t="s">
        <v>437</v>
      </c>
      <c r="B30" s="18" t="s">
        <v>356</v>
      </c>
      <c r="C30" s="18" t="s">
        <v>438</v>
      </c>
      <c r="D30" s="19" t="s">
        <v>44</v>
      </c>
      <c r="E30" s="17" t="s">
        <v>45</v>
      </c>
      <c r="F30" s="18" t="s">
        <v>439</v>
      </c>
      <c r="G30" s="18" t="s">
        <v>440</v>
      </c>
      <c r="H30" s="18" t="s">
        <v>441</v>
      </c>
      <c r="I30" s="18" t="s">
        <v>442</v>
      </c>
      <c r="J30" s="16" t="s">
        <v>48</v>
      </c>
      <c r="K30" s="18"/>
    </row>
    <row r="31" spans="1:11" ht="79.5" customHeight="1">
      <c r="A31" s="13" t="s">
        <v>443</v>
      </c>
      <c r="B31" s="14" t="s">
        <v>444</v>
      </c>
      <c r="C31" s="14" t="s">
        <v>445</v>
      </c>
      <c r="D31" s="15" t="s">
        <v>43</v>
      </c>
      <c r="E31" s="13" t="s">
        <v>45</v>
      </c>
      <c r="F31" s="14" t="s">
        <v>446</v>
      </c>
      <c r="G31" s="14" t="s">
        <v>220</v>
      </c>
      <c r="H31" s="14" t="s">
        <v>447</v>
      </c>
      <c r="I31" s="14" t="s">
        <v>448</v>
      </c>
      <c r="J31" s="16" t="s">
        <v>48</v>
      </c>
      <c r="K31" s="14"/>
    </row>
    <row r="32" spans="1:11" ht="83.25" customHeight="1">
      <c r="A32" s="13" t="s">
        <v>449</v>
      </c>
      <c r="B32" s="14" t="s">
        <v>444</v>
      </c>
      <c r="C32" s="14" t="s">
        <v>450</v>
      </c>
      <c r="D32" s="15" t="s">
        <v>43</v>
      </c>
      <c r="E32" s="13" t="s">
        <v>46</v>
      </c>
      <c r="F32" s="14" t="s">
        <v>451</v>
      </c>
      <c r="G32" s="14" t="s">
        <v>452</v>
      </c>
      <c r="H32" s="14" t="s">
        <v>453</v>
      </c>
      <c r="I32" s="14" t="s">
        <v>454</v>
      </c>
      <c r="J32" s="16" t="s">
        <v>48</v>
      </c>
      <c r="K32" s="14"/>
    </row>
    <row r="33" spans="1:11" ht="68.25" customHeight="1">
      <c r="A33" s="17" t="s">
        <v>455</v>
      </c>
      <c r="B33" s="18" t="s">
        <v>444</v>
      </c>
      <c r="C33" s="18" t="s">
        <v>456</v>
      </c>
      <c r="D33" s="19" t="s">
        <v>44</v>
      </c>
      <c r="E33" s="17" t="s">
        <v>45</v>
      </c>
      <c r="F33" s="18" t="s">
        <v>457</v>
      </c>
      <c r="G33" s="18" t="s">
        <v>458</v>
      </c>
      <c r="H33" s="18" t="s">
        <v>459</v>
      </c>
      <c r="I33" s="18" t="s">
        <v>460</v>
      </c>
      <c r="J33" s="16" t="s">
        <v>48</v>
      </c>
      <c r="K33" s="18"/>
    </row>
    <row r="34" spans="1:11" ht="69.75" customHeight="1">
      <c r="A34" s="17" t="s">
        <v>461</v>
      </c>
      <c r="B34" s="18" t="s">
        <v>444</v>
      </c>
      <c r="C34" s="18" t="s">
        <v>462</v>
      </c>
      <c r="D34" s="19" t="s">
        <v>44</v>
      </c>
      <c r="E34" s="17" t="s">
        <v>46</v>
      </c>
      <c r="F34" s="18" t="s">
        <v>463</v>
      </c>
      <c r="G34" s="18" t="s">
        <v>220</v>
      </c>
      <c r="H34" s="18" t="s">
        <v>464</v>
      </c>
      <c r="I34" s="18" t="s">
        <v>465</v>
      </c>
      <c r="J34" s="16" t="s">
        <v>48</v>
      </c>
      <c r="K34" s="18"/>
    </row>
  </sheetData>
  <autoFilter ref="A1:K34" xr:uid="{00000000-0009-0000-0000-000002000000}"/>
  <dataValidations count="3">
    <dataValidation type="list" allowBlank="1" sqref="D2:D34" xr:uid="{00000000-0002-0000-0200-000000000000}">
      <formula1>"Positive,Negative,Functional - Positive,Functional - Negative,Validation - Positive,Validation - Negative,Defect - Functional,Defect - Validation"</formula1>
      <formula2>0</formula2>
    </dataValidation>
    <dataValidation type="list" allowBlank="1" sqref="E2:E34" xr:uid="{00000000-0002-0000-0200-000001000000}">
      <formula1>"High,Medium,Low"</formula1>
      <formula2>0</formula2>
    </dataValidation>
    <dataValidation type="list" allowBlank="1" sqref="J2:J34" xr:uid="{00000000-0002-0000-02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4"/>
  <sheetViews>
    <sheetView zoomScaleNormal="100" workbookViewId="0">
      <selection activeCell="A2" sqref="A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55.5" customHeight="1">
      <c r="A2" s="13" t="s">
        <v>466</v>
      </c>
      <c r="B2" s="14" t="s">
        <v>467</v>
      </c>
      <c r="C2" s="14" t="s">
        <v>468</v>
      </c>
      <c r="D2" s="15" t="s">
        <v>43</v>
      </c>
      <c r="E2" s="13" t="s">
        <v>45</v>
      </c>
      <c r="F2" s="14" t="s">
        <v>469</v>
      </c>
      <c r="G2" s="14" t="s">
        <v>470</v>
      </c>
      <c r="H2" s="14" t="s">
        <v>471</v>
      </c>
      <c r="I2" s="14"/>
      <c r="J2" s="16" t="s">
        <v>51</v>
      </c>
      <c r="K2" s="14"/>
    </row>
    <row r="3" spans="1:11" ht="27.75" customHeight="1">
      <c r="A3" s="13" t="s">
        <v>472</v>
      </c>
      <c r="B3" s="14" t="s">
        <v>467</v>
      </c>
      <c r="C3" s="14" t="s">
        <v>473</v>
      </c>
      <c r="D3" s="15" t="s">
        <v>43</v>
      </c>
      <c r="E3" s="13" t="s">
        <v>47</v>
      </c>
      <c r="F3" s="14" t="s">
        <v>474</v>
      </c>
      <c r="G3" s="14" t="s">
        <v>109</v>
      </c>
      <c r="H3" s="14" t="s">
        <v>475</v>
      </c>
      <c r="I3" s="14"/>
      <c r="J3" s="16" t="s">
        <v>51</v>
      </c>
      <c r="K3" s="14"/>
    </row>
    <row r="4" spans="1:11" ht="27.75" customHeight="1">
      <c r="A4" s="13" t="s">
        <v>476</v>
      </c>
      <c r="B4" s="14" t="s">
        <v>467</v>
      </c>
      <c r="C4" s="14" t="s">
        <v>477</v>
      </c>
      <c r="D4" s="15" t="s">
        <v>43</v>
      </c>
      <c r="E4" s="13" t="s">
        <v>47</v>
      </c>
      <c r="F4" s="14" t="s">
        <v>478</v>
      </c>
      <c r="G4" s="14" t="s">
        <v>479</v>
      </c>
      <c r="H4" s="14" t="s">
        <v>480</v>
      </c>
      <c r="I4" s="14"/>
      <c r="J4" s="16" t="s">
        <v>51</v>
      </c>
      <c r="K4" s="14"/>
    </row>
    <row r="5" spans="1:11" ht="55.5" customHeight="1">
      <c r="A5" s="13" t="s">
        <v>481</v>
      </c>
      <c r="B5" s="14" t="s">
        <v>467</v>
      </c>
      <c r="C5" s="14" t="s">
        <v>482</v>
      </c>
      <c r="D5" s="15" t="s">
        <v>43</v>
      </c>
      <c r="E5" s="13" t="s">
        <v>47</v>
      </c>
      <c r="F5" s="14" t="s">
        <v>483</v>
      </c>
      <c r="G5" s="14" t="s">
        <v>109</v>
      </c>
      <c r="H5" s="14" t="s">
        <v>484</v>
      </c>
      <c r="I5" s="14"/>
      <c r="J5" s="16" t="s">
        <v>51</v>
      </c>
      <c r="K5" s="14"/>
    </row>
    <row r="6" spans="1:11" ht="55.5" customHeight="1">
      <c r="A6" s="17" t="s">
        <v>485</v>
      </c>
      <c r="B6" s="18" t="s">
        <v>467</v>
      </c>
      <c r="C6" s="18" t="s">
        <v>486</v>
      </c>
      <c r="D6" s="19" t="s">
        <v>44</v>
      </c>
      <c r="E6" s="17" t="s">
        <v>45</v>
      </c>
      <c r="F6" s="18" t="s">
        <v>487</v>
      </c>
      <c r="G6" s="18" t="s">
        <v>317</v>
      </c>
      <c r="H6" s="18" t="s">
        <v>488</v>
      </c>
      <c r="I6" s="18"/>
      <c r="J6" s="16" t="s">
        <v>51</v>
      </c>
      <c r="K6" s="18" t="s">
        <v>489</v>
      </c>
    </row>
    <row r="7" spans="1:11" ht="27.75" customHeight="1">
      <c r="A7" s="17" t="s">
        <v>490</v>
      </c>
      <c r="B7" s="18" t="s">
        <v>467</v>
      </c>
      <c r="C7" s="18" t="s">
        <v>491</v>
      </c>
      <c r="D7" s="19" t="s">
        <v>44</v>
      </c>
      <c r="E7" s="17" t="s">
        <v>45</v>
      </c>
      <c r="F7" s="18" t="s">
        <v>492</v>
      </c>
      <c r="G7" s="18" t="s">
        <v>493</v>
      </c>
      <c r="H7" s="18" t="s">
        <v>494</v>
      </c>
      <c r="I7" s="18"/>
      <c r="J7" s="16" t="s">
        <v>51</v>
      </c>
      <c r="K7" s="18"/>
    </row>
    <row r="8" spans="1:11" ht="42" customHeight="1">
      <c r="A8" s="17" t="s">
        <v>495</v>
      </c>
      <c r="B8" s="18" t="s">
        <v>467</v>
      </c>
      <c r="C8" s="18" t="s">
        <v>496</v>
      </c>
      <c r="D8" s="19" t="s">
        <v>44</v>
      </c>
      <c r="E8" s="17" t="s">
        <v>45</v>
      </c>
      <c r="F8" s="18" t="s">
        <v>497</v>
      </c>
      <c r="G8" s="18" t="s">
        <v>498</v>
      </c>
      <c r="H8" s="18" t="s">
        <v>499</v>
      </c>
      <c r="I8" s="18"/>
      <c r="J8" s="16" t="s">
        <v>51</v>
      </c>
      <c r="K8" s="18"/>
    </row>
    <row r="9" spans="1:11" ht="42" customHeight="1">
      <c r="A9" s="17" t="s">
        <v>500</v>
      </c>
      <c r="B9" s="18" t="s">
        <v>467</v>
      </c>
      <c r="C9" s="18" t="s">
        <v>501</v>
      </c>
      <c r="D9" s="19" t="s">
        <v>44</v>
      </c>
      <c r="E9" s="17" t="s">
        <v>46</v>
      </c>
      <c r="F9" s="18" t="s">
        <v>502</v>
      </c>
      <c r="G9" s="18" t="s">
        <v>470</v>
      </c>
      <c r="H9" s="18" t="s">
        <v>503</v>
      </c>
      <c r="I9" s="18"/>
      <c r="J9" s="16" t="s">
        <v>51</v>
      </c>
      <c r="K9" s="18"/>
    </row>
    <row r="10" spans="1:11" ht="42" customHeight="1">
      <c r="A10" s="17" t="s">
        <v>504</v>
      </c>
      <c r="B10" s="18" t="s">
        <v>467</v>
      </c>
      <c r="C10" s="18" t="s">
        <v>505</v>
      </c>
      <c r="D10" s="19" t="s">
        <v>44</v>
      </c>
      <c r="E10" s="17" t="s">
        <v>45</v>
      </c>
      <c r="F10" s="18" t="s">
        <v>506</v>
      </c>
      <c r="G10" s="18" t="s">
        <v>507</v>
      </c>
      <c r="H10" s="18" t="s">
        <v>508</v>
      </c>
      <c r="I10" s="18"/>
      <c r="J10" s="16" t="s">
        <v>51</v>
      </c>
      <c r="K10" s="18"/>
    </row>
    <row r="11" spans="1:11" ht="42" customHeight="1">
      <c r="A11" s="17" t="s">
        <v>509</v>
      </c>
      <c r="B11" s="18" t="s">
        <v>467</v>
      </c>
      <c r="C11" s="18" t="s">
        <v>510</v>
      </c>
      <c r="D11" s="19" t="s">
        <v>44</v>
      </c>
      <c r="E11" s="17" t="s">
        <v>47</v>
      </c>
      <c r="F11" s="18" t="s">
        <v>511</v>
      </c>
      <c r="G11" s="18" t="s">
        <v>512</v>
      </c>
      <c r="H11" s="18" t="s">
        <v>513</v>
      </c>
      <c r="I11" s="18"/>
      <c r="J11" s="16" t="s">
        <v>51</v>
      </c>
      <c r="K11" s="18"/>
    </row>
    <row r="12" spans="1:11" ht="69.75" customHeight="1">
      <c r="A12" s="13" t="s">
        <v>514</v>
      </c>
      <c r="B12" s="14" t="s">
        <v>515</v>
      </c>
      <c r="C12" s="14" t="s">
        <v>516</v>
      </c>
      <c r="D12" s="15" t="s">
        <v>43</v>
      </c>
      <c r="E12" s="13" t="s">
        <v>45</v>
      </c>
      <c r="F12" s="14" t="s">
        <v>517</v>
      </c>
      <c r="G12" s="14" t="s">
        <v>518</v>
      </c>
      <c r="H12" s="14" t="s">
        <v>519</v>
      </c>
      <c r="I12" s="14"/>
      <c r="J12" s="16" t="s">
        <v>51</v>
      </c>
      <c r="K12" s="14"/>
    </row>
    <row r="13" spans="1:11" ht="27.75" customHeight="1">
      <c r="A13" s="13" t="s">
        <v>520</v>
      </c>
      <c r="B13" s="14" t="s">
        <v>515</v>
      </c>
      <c r="C13" s="14" t="s">
        <v>385</v>
      </c>
      <c r="D13" s="15" t="s">
        <v>43</v>
      </c>
      <c r="E13" s="13" t="s">
        <v>46</v>
      </c>
      <c r="F13" s="14" t="s">
        <v>521</v>
      </c>
      <c r="G13" s="14" t="s">
        <v>522</v>
      </c>
      <c r="H13" s="14" t="s">
        <v>388</v>
      </c>
      <c r="I13" s="14"/>
      <c r="J13" s="16" t="s">
        <v>51</v>
      </c>
      <c r="K13" s="14"/>
    </row>
    <row r="14" spans="1:11" ht="27.75" customHeight="1">
      <c r="A14" s="13" t="s">
        <v>523</v>
      </c>
      <c r="B14" s="14" t="s">
        <v>515</v>
      </c>
      <c r="C14" s="14" t="s">
        <v>524</v>
      </c>
      <c r="D14" s="15" t="s">
        <v>43</v>
      </c>
      <c r="E14" s="13" t="s">
        <v>47</v>
      </c>
      <c r="F14" s="14" t="s">
        <v>525</v>
      </c>
      <c r="G14" s="14" t="s">
        <v>109</v>
      </c>
      <c r="H14" s="14" t="s">
        <v>526</v>
      </c>
      <c r="I14" s="14"/>
      <c r="J14" s="16" t="s">
        <v>51</v>
      </c>
      <c r="K14" s="14"/>
    </row>
    <row r="15" spans="1:11" ht="55.5" customHeight="1">
      <c r="A15" s="13" t="s">
        <v>527</v>
      </c>
      <c r="B15" s="14" t="s">
        <v>515</v>
      </c>
      <c r="C15" s="14" t="s">
        <v>368</v>
      </c>
      <c r="D15" s="15" t="s">
        <v>43</v>
      </c>
      <c r="E15" s="13" t="s">
        <v>46</v>
      </c>
      <c r="F15" s="14" t="s">
        <v>369</v>
      </c>
      <c r="G15" s="14" t="s">
        <v>528</v>
      </c>
      <c r="H15" s="14" t="s">
        <v>371</v>
      </c>
      <c r="I15" s="14"/>
      <c r="J15" s="16" t="s">
        <v>51</v>
      </c>
      <c r="K15" s="14"/>
    </row>
    <row r="16" spans="1:11" ht="27.75" customHeight="1">
      <c r="A16" s="13" t="s">
        <v>529</v>
      </c>
      <c r="B16" s="14" t="s">
        <v>515</v>
      </c>
      <c r="C16" s="14" t="s">
        <v>374</v>
      </c>
      <c r="D16" s="15" t="s">
        <v>43</v>
      </c>
      <c r="E16" s="13" t="s">
        <v>47</v>
      </c>
      <c r="F16" s="14" t="s">
        <v>375</v>
      </c>
      <c r="G16" s="14" t="s">
        <v>530</v>
      </c>
      <c r="H16" s="14" t="s">
        <v>377</v>
      </c>
      <c r="I16" s="14"/>
      <c r="J16" s="16" t="s">
        <v>51</v>
      </c>
      <c r="K16" s="14"/>
    </row>
    <row r="17" spans="1:11" ht="55.5" customHeight="1">
      <c r="A17" s="13" t="s">
        <v>531</v>
      </c>
      <c r="B17" s="14" t="s">
        <v>515</v>
      </c>
      <c r="C17" s="14" t="s">
        <v>380</v>
      </c>
      <c r="D17" s="15" t="s">
        <v>43</v>
      </c>
      <c r="E17" s="13" t="s">
        <v>46</v>
      </c>
      <c r="F17" s="14" t="s">
        <v>381</v>
      </c>
      <c r="G17" s="14" t="s">
        <v>109</v>
      </c>
      <c r="H17" s="14" t="s">
        <v>532</v>
      </c>
      <c r="I17" s="14"/>
      <c r="J17" s="16" t="s">
        <v>51</v>
      </c>
      <c r="K17" s="14" t="s">
        <v>533</v>
      </c>
    </row>
    <row r="18" spans="1:11" ht="27.75" customHeight="1">
      <c r="A18" s="17" t="s">
        <v>534</v>
      </c>
      <c r="B18" s="18" t="s">
        <v>515</v>
      </c>
      <c r="C18" s="18" t="s">
        <v>397</v>
      </c>
      <c r="D18" s="19" t="s">
        <v>44</v>
      </c>
      <c r="E18" s="17" t="s">
        <v>45</v>
      </c>
      <c r="F18" s="18" t="s">
        <v>535</v>
      </c>
      <c r="G18" s="18" t="s">
        <v>536</v>
      </c>
      <c r="H18" s="18" t="s">
        <v>537</v>
      </c>
      <c r="I18" s="18"/>
      <c r="J18" s="16" t="s">
        <v>51</v>
      </c>
      <c r="K18" s="18"/>
    </row>
    <row r="19" spans="1:11" ht="55.5" customHeight="1">
      <c r="A19" s="17" t="s">
        <v>538</v>
      </c>
      <c r="B19" s="18" t="s">
        <v>515</v>
      </c>
      <c r="C19" s="18" t="s">
        <v>403</v>
      </c>
      <c r="D19" s="19" t="s">
        <v>44</v>
      </c>
      <c r="E19" s="17" t="s">
        <v>45</v>
      </c>
      <c r="F19" s="18" t="s">
        <v>539</v>
      </c>
      <c r="G19" s="18" t="s">
        <v>540</v>
      </c>
      <c r="H19" s="18" t="s">
        <v>541</v>
      </c>
      <c r="I19" s="18"/>
      <c r="J19" s="16" t="s">
        <v>51</v>
      </c>
      <c r="K19" s="18" t="s">
        <v>542</v>
      </c>
    </row>
    <row r="20" spans="1:11" ht="42" customHeight="1">
      <c r="A20" s="17" t="s">
        <v>543</v>
      </c>
      <c r="B20" s="18" t="s">
        <v>515</v>
      </c>
      <c r="C20" s="18" t="s">
        <v>409</v>
      </c>
      <c r="D20" s="19" t="s">
        <v>44</v>
      </c>
      <c r="E20" s="17" t="s">
        <v>45</v>
      </c>
      <c r="F20" s="18" t="s">
        <v>410</v>
      </c>
      <c r="G20" s="18" t="s">
        <v>411</v>
      </c>
      <c r="H20" s="18" t="s">
        <v>544</v>
      </c>
      <c r="I20" s="18"/>
      <c r="J20" s="16" t="s">
        <v>51</v>
      </c>
      <c r="K20" s="18" t="s">
        <v>545</v>
      </c>
    </row>
    <row r="21" spans="1:11" ht="27.75" customHeight="1">
      <c r="A21" s="17" t="s">
        <v>546</v>
      </c>
      <c r="B21" s="18" t="s">
        <v>515</v>
      </c>
      <c r="C21" s="18" t="s">
        <v>547</v>
      </c>
      <c r="D21" s="19" t="s">
        <v>44</v>
      </c>
      <c r="E21" s="17" t="s">
        <v>46</v>
      </c>
      <c r="F21" s="18" t="s">
        <v>417</v>
      </c>
      <c r="G21" s="18" t="s">
        <v>109</v>
      </c>
      <c r="H21" s="18" t="s">
        <v>548</v>
      </c>
      <c r="I21" s="18"/>
      <c r="J21" s="16" t="s">
        <v>51</v>
      </c>
      <c r="K21" s="18"/>
    </row>
    <row r="22" spans="1:11" ht="27.75" customHeight="1">
      <c r="A22" s="17" t="s">
        <v>549</v>
      </c>
      <c r="B22" s="18" t="s">
        <v>515</v>
      </c>
      <c r="C22" s="18" t="s">
        <v>421</v>
      </c>
      <c r="D22" s="19" t="s">
        <v>44</v>
      </c>
      <c r="E22" s="17" t="s">
        <v>46</v>
      </c>
      <c r="F22" s="18" t="s">
        <v>550</v>
      </c>
      <c r="G22" s="18" t="s">
        <v>551</v>
      </c>
      <c r="H22" s="18" t="s">
        <v>552</v>
      </c>
      <c r="I22" s="18"/>
      <c r="J22" s="16" t="s">
        <v>51</v>
      </c>
      <c r="K22" s="18"/>
    </row>
    <row r="23" spans="1:11" ht="27.75" customHeight="1">
      <c r="A23" s="17" t="s">
        <v>553</v>
      </c>
      <c r="B23" s="18" t="s">
        <v>515</v>
      </c>
      <c r="C23" s="18" t="s">
        <v>427</v>
      </c>
      <c r="D23" s="19" t="s">
        <v>44</v>
      </c>
      <c r="E23" s="17" t="s">
        <v>46</v>
      </c>
      <c r="F23" s="18" t="s">
        <v>428</v>
      </c>
      <c r="G23" s="18" t="s">
        <v>429</v>
      </c>
      <c r="H23" s="18" t="s">
        <v>430</v>
      </c>
      <c r="I23" s="18"/>
      <c r="J23" s="16" t="s">
        <v>51</v>
      </c>
      <c r="K23" s="18"/>
    </row>
    <row r="24" spans="1:11" ht="55.5" customHeight="1">
      <c r="A24" s="17" t="s">
        <v>554</v>
      </c>
      <c r="B24" s="18" t="s">
        <v>515</v>
      </c>
      <c r="C24" s="18" t="s">
        <v>555</v>
      </c>
      <c r="D24" s="19" t="s">
        <v>44</v>
      </c>
      <c r="E24" s="17" t="s">
        <v>46</v>
      </c>
      <c r="F24" s="18" t="s">
        <v>556</v>
      </c>
      <c r="G24" s="18" t="s">
        <v>557</v>
      </c>
      <c r="H24" s="18" t="s">
        <v>558</v>
      </c>
      <c r="I24" s="18"/>
      <c r="J24" s="16" t="s">
        <v>51</v>
      </c>
      <c r="K24" s="18"/>
    </row>
    <row r="25" spans="1:11" ht="42" customHeight="1">
      <c r="A25" s="13" t="s">
        <v>559</v>
      </c>
      <c r="B25" s="14" t="s">
        <v>560</v>
      </c>
      <c r="C25" s="14" t="s">
        <v>561</v>
      </c>
      <c r="D25" s="15" t="s">
        <v>43</v>
      </c>
      <c r="E25" s="13" t="s">
        <v>45</v>
      </c>
      <c r="F25" s="14" t="s">
        <v>562</v>
      </c>
      <c r="G25" s="14" t="s">
        <v>563</v>
      </c>
      <c r="H25" s="14" t="s">
        <v>564</v>
      </c>
      <c r="I25" s="14"/>
      <c r="J25" s="16" t="s">
        <v>51</v>
      </c>
      <c r="K25" s="14"/>
    </row>
    <row r="26" spans="1:11" ht="42" customHeight="1">
      <c r="A26" s="13" t="s">
        <v>565</v>
      </c>
      <c r="B26" s="14" t="s">
        <v>560</v>
      </c>
      <c r="C26" s="14" t="s">
        <v>566</v>
      </c>
      <c r="D26" s="15" t="s">
        <v>43</v>
      </c>
      <c r="E26" s="13" t="s">
        <v>47</v>
      </c>
      <c r="F26" s="14" t="s">
        <v>567</v>
      </c>
      <c r="G26" s="14" t="s">
        <v>568</v>
      </c>
      <c r="H26" s="14" t="s">
        <v>569</v>
      </c>
      <c r="I26" s="14"/>
      <c r="J26" s="16" t="s">
        <v>51</v>
      </c>
      <c r="K26" s="14"/>
    </row>
    <row r="27" spans="1:11" ht="27.75" customHeight="1">
      <c r="A27" s="13" t="s">
        <v>570</v>
      </c>
      <c r="B27" s="14" t="s">
        <v>560</v>
      </c>
      <c r="C27" s="14" t="s">
        <v>571</v>
      </c>
      <c r="D27" s="15" t="s">
        <v>43</v>
      </c>
      <c r="E27" s="13" t="s">
        <v>47</v>
      </c>
      <c r="F27" s="14" t="s">
        <v>572</v>
      </c>
      <c r="G27" s="14" t="s">
        <v>109</v>
      </c>
      <c r="H27" s="14" t="s">
        <v>573</v>
      </c>
      <c r="I27" s="14"/>
      <c r="J27" s="16" t="s">
        <v>51</v>
      </c>
      <c r="K27" s="14"/>
    </row>
    <row r="28" spans="1:11" ht="55.5" customHeight="1">
      <c r="A28" s="17" t="s">
        <v>574</v>
      </c>
      <c r="B28" s="18" t="s">
        <v>560</v>
      </c>
      <c r="C28" s="18" t="s">
        <v>575</v>
      </c>
      <c r="D28" s="19" t="s">
        <v>44</v>
      </c>
      <c r="E28" s="17" t="s">
        <v>45</v>
      </c>
      <c r="F28" s="18" t="s">
        <v>576</v>
      </c>
      <c r="G28" s="18" t="s">
        <v>577</v>
      </c>
      <c r="H28" s="18" t="s">
        <v>578</v>
      </c>
      <c r="I28" s="18"/>
      <c r="J28" s="16" t="s">
        <v>51</v>
      </c>
      <c r="K28" s="18"/>
    </row>
    <row r="29" spans="1:11" ht="27.75" customHeight="1">
      <c r="A29" s="17" t="s">
        <v>579</v>
      </c>
      <c r="B29" s="18" t="s">
        <v>560</v>
      </c>
      <c r="C29" s="18" t="s">
        <v>580</v>
      </c>
      <c r="D29" s="19" t="s">
        <v>44</v>
      </c>
      <c r="E29" s="17" t="s">
        <v>45</v>
      </c>
      <c r="F29" s="18" t="s">
        <v>581</v>
      </c>
      <c r="G29" s="18" t="s">
        <v>582</v>
      </c>
      <c r="H29" s="18" t="s">
        <v>583</v>
      </c>
      <c r="I29" s="18"/>
      <c r="J29" s="16" t="s">
        <v>51</v>
      </c>
      <c r="K29" s="18"/>
    </row>
    <row r="30" spans="1:11" ht="42" customHeight="1">
      <c r="A30" s="17" t="s">
        <v>584</v>
      </c>
      <c r="B30" s="18" t="s">
        <v>560</v>
      </c>
      <c r="C30" s="18" t="s">
        <v>585</v>
      </c>
      <c r="D30" s="19" t="s">
        <v>44</v>
      </c>
      <c r="E30" s="17" t="s">
        <v>45</v>
      </c>
      <c r="F30" s="18" t="s">
        <v>586</v>
      </c>
      <c r="G30" s="18" t="s">
        <v>587</v>
      </c>
      <c r="H30" s="18" t="s">
        <v>588</v>
      </c>
      <c r="I30" s="18"/>
      <c r="J30" s="16" t="s">
        <v>51</v>
      </c>
      <c r="K30" s="18" t="s">
        <v>589</v>
      </c>
    </row>
    <row r="31" spans="1:11" ht="55.5" customHeight="1">
      <c r="A31" s="17" t="s">
        <v>590</v>
      </c>
      <c r="B31" s="18" t="s">
        <v>560</v>
      </c>
      <c r="C31" s="18" t="s">
        <v>591</v>
      </c>
      <c r="D31" s="19" t="s">
        <v>44</v>
      </c>
      <c r="E31" s="17" t="s">
        <v>45</v>
      </c>
      <c r="F31" s="18" t="s">
        <v>592</v>
      </c>
      <c r="G31" s="18" t="s">
        <v>593</v>
      </c>
      <c r="H31" s="18" t="s">
        <v>594</v>
      </c>
      <c r="I31" s="18"/>
      <c r="J31" s="16" t="s">
        <v>51</v>
      </c>
      <c r="K31" s="18" t="s">
        <v>595</v>
      </c>
    </row>
    <row r="32" spans="1:11" ht="42" customHeight="1">
      <c r="A32" s="17" t="s">
        <v>596</v>
      </c>
      <c r="B32" s="18" t="s">
        <v>560</v>
      </c>
      <c r="C32" s="18" t="s">
        <v>597</v>
      </c>
      <c r="D32" s="19" t="s">
        <v>44</v>
      </c>
      <c r="E32" s="17" t="s">
        <v>46</v>
      </c>
      <c r="F32" s="18" t="s">
        <v>598</v>
      </c>
      <c r="G32" s="18" t="s">
        <v>599</v>
      </c>
      <c r="H32" s="18" t="s">
        <v>600</v>
      </c>
      <c r="I32" s="18"/>
      <c r="J32" s="16" t="s">
        <v>51</v>
      </c>
      <c r="K32" s="18" t="s">
        <v>601</v>
      </c>
    </row>
    <row r="33" spans="1:11" ht="55.5" customHeight="1">
      <c r="A33" s="17" t="s">
        <v>602</v>
      </c>
      <c r="B33" s="18" t="s">
        <v>560</v>
      </c>
      <c r="C33" s="18" t="s">
        <v>603</v>
      </c>
      <c r="D33" s="19" t="s">
        <v>44</v>
      </c>
      <c r="E33" s="17" t="s">
        <v>46</v>
      </c>
      <c r="F33" s="18" t="s">
        <v>604</v>
      </c>
      <c r="G33" s="18" t="s">
        <v>109</v>
      </c>
      <c r="H33" s="18" t="s">
        <v>605</v>
      </c>
      <c r="I33" s="18"/>
      <c r="J33" s="16" t="s">
        <v>51</v>
      </c>
      <c r="K33" s="18" t="s">
        <v>606</v>
      </c>
    </row>
    <row r="34" spans="1:11" ht="42" customHeight="1">
      <c r="A34" s="17" t="s">
        <v>607</v>
      </c>
      <c r="B34" s="18" t="s">
        <v>560</v>
      </c>
      <c r="C34" s="18" t="s">
        <v>608</v>
      </c>
      <c r="D34" s="19" t="s">
        <v>44</v>
      </c>
      <c r="E34" s="17" t="s">
        <v>45</v>
      </c>
      <c r="F34" s="18" t="s">
        <v>609</v>
      </c>
      <c r="G34" s="18" t="s">
        <v>109</v>
      </c>
      <c r="H34" s="18" t="s">
        <v>610</v>
      </c>
      <c r="I34" s="18"/>
      <c r="J34" s="16" t="s">
        <v>51</v>
      </c>
      <c r="K34" s="18"/>
    </row>
  </sheetData>
  <autoFilter ref="A1:K34" xr:uid="{00000000-0009-0000-0000-000003000000}"/>
  <dataValidations count="3">
    <dataValidation type="list" allowBlank="1" sqref="D2:D34" xr:uid="{00000000-0002-0000-0300-000000000000}">
      <formula1>"Positive,Negative,Functional - Positive,Functional - Negative,Validation - Positive,Validation - Negative,Defect - Functional,Defect - Validation"</formula1>
      <formula2>0</formula2>
    </dataValidation>
    <dataValidation type="list" allowBlank="1" sqref="E2:E34" xr:uid="{00000000-0002-0000-0300-000001000000}">
      <formula1>"High,Medium,Low"</formula1>
      <formula2>0</formula2>
    </dataValidation>
    <dataValidation type="list" allowBlank="1" sqref="J2:J34" xr:uid="{00000000-0002-0000-03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56"/>
  <sheetViews>
    <sheetView zoomScaleNormal="100" workbookViewId="0">
      <selection activeCell="C4" sqref="C4"/>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55.5" customHeight="1">
      <c r="A2" s="13" t="s">
        <v>611</v>
      </c>
      <c r="B2" s="14" t="s">
        <v>612</v>
      </c>
      <c r="C2" s="14" t="s">
        <v>613</v>
      </c>
      <c r="D2" s="15" t="s">
        <v>43</v>
      </c>
      <c r="E2" s="13" t="s">
        <v>46</v>
      </c>
      <c r="F2" s="14" t="s">
        <v>614</v>
      </c>
      <c r="G2" s="14" t="s">
        <v>615</v>
      </c>
      <c r="H2" s="14" t="s">
        <v>616</v>
      </c>
      <c r="I2" s="14"/>
      <c r="J2" s="16" t="s">
        <v>51</v>
      </c>
      <c r="K2" s="14"/>
    </row>
    <row r="3" spans="1:11" ht="42" customHeight="1">
      <c r="A3" s="17" t="s">
        <v>617</v>
      </c>
      <c r="B3" s="18" t="s">
        <v>612</v>
      </c>
      <c r="C3" s="18" t="s">
        <v>618</v>
      </c>
      <c r="D3" s="19" t="s">
        <v>44</v>
      </c>
      <c r="E3" s="17" t="s">
        <v>46</v>
      </c>
      <c r="F3" s="18" t="s">
        <v>619</v>
      </c>
      <c r="G3" s="18" t="s">
        <v>620</v>
      </c>
      <c r="H3" s="18" t="s">
        <v>621</v>
      </c>
      <c r="I3" s="18"/>
      <c r="J3" s="16" t="s">
        <v>51</v>
      </c>
      <c r="K3" s="18"/>
    </row>
    <row r="4" spans="1:11" ht="42" customHeight="1">
      <c r="A4" s="17" t="s">
        <v>622</v>
      </c>
      <c r="B4" s="18" t="s">
        <v>612</v>
      </c>
      <c r="C4" s="18" t="s">
        <v>623</v>
      </c>
      <c r="D4" s="19" t="s">
        <v>44</v>
      </c>
      <c r="E4" s="17" t="s">
        <v>46</v>
      </c>
      <c r="F4" s="18" t="s">
        <v>624</v>
      </c>
      <c r="G4" s="18" t="s">
        <v>625</v>
      </c>
      <c r="H4" s="18" t="s">
        <v>156</v>
      </c>
      <c r="I4" s="18"/>
      <c r="J4" s="16" t="s">
        <v>51</v>
      </c>
      <c r="K4" s="18"/>
    </row>
    <row r="5" spans="1:11" ht="42" customHeight="1">
      <c r="A5" s="17" t="s">
        <v>626</v>
      </c>
      <c r="B5" s="18" t="s">
        <v>612</v>
      </c>
      <c r="C5" s="18" t="s">
        <v>627</v>
      </c>
      <c r="D5" s="19" t="s">
        <v>44</v>
      </c>
      <c r="E5" s="17" t="s">
        <v>47</v>
      </c>
      <c r="F5" s="18" t="s">
        <v>628</v>
      </c>
      <c r="G5" s="18" t="s">
        <v>629</v>
      </c>
      <c r="H5" s="18" t="s">
        <v>630</v>
      </c>
      <c r="I5" s="18"/>
      <c r="J5" s="16" t="s">
        <v>51</v>
      </c>
      <c r="K5" s="18" t="s">
        <v>631</v>
      </c>
    </row>
    <row r="6" spans="1:11" ht="69.75" customHeight="1">
      <c r="A6" s="13" t="s">
        <v>632</v>
      </c>
      <c r="B6" s="14" t="s">
        <v>612</v>
      </c>
      <c r="C6" s="14" t="s">
        <v>633</v>
      </c>
      <c r="D6" s="15" t="s">
        <v>43</v>
      </c>
      <c r="E6" s="13" t="s">
        <v>46</v>
      </c>
      <c r="F6" s="14" t="s">
        <v>634</v>
      </c>
      <c r="G6" s="14" t="s">
        <v>635</v>
      </c>
      <c r="H6" s="14" t="s">
        <v>636</v>
      </c>
      <c r="I6" s="14"/>
      <c r="J6" s="16" t="s">
        <v>51</v>
      </c>
      <c r="K6" s="14"/>
    </row>
    <row r="7" spans="1:11" ht="42" customHeight="1">
      <c r="A7" s="17" t="s">
        <v>637</v>
      </c>
      <c r="B7" s="18" t="s">
        <v>612</v>
      </c>
      <c r="C7" s="18" t="s">
        <v>638</v>
      </c>
      <c r="D7" s="19" t="s">
        <v>44</v>
      </c>
      <c r="E7" s="17" t="s">
        <v>46</v>
      </c>
      <c r="F7" s="18" t="s">
        <v>639</v>
      </c>
      <c r="G7" s="18" t="s">
        <v>640</v>
      </c>
      <c r="H7" s="18" t="s">
        <v>641</v>
      </c>
      <c r="I7" s="18"/>
      <c r="J7" s="16" t="s">
        <v>51</v>
      </c>
      <c r="K7" s="18"/>
    </row>
    <row r="8" spans="1:11" ht="55.5" customHeight="1">
      <c r="A8" s="17" t="s">
        <v>642</v>
      </c>
      <c r="B8" s="18" t="s">
        <v>612</v>
      </c>
      <c r="C8" s="18" t="s">
        <v>643</v>
      </c>
      <c r="D8" s="19" t="s">
        <v>44</v>
      </c>
      <c r="E8" s="17" t="s">
        <v>46</v>
      </c>
      <c r="F8" s="18" t="s">
        <v>644</v>
      </c>
      <c r="G8" s="18" t="s">
        <v>645</v>
      </c>
      <c r="H8" s="18" t="s">
        <v>646</v>
      </c>
      <c r="I8" s="18"/>
      <c r="J8" s="16" t="s">
        <v>51</v>
      </c>
      <c r="K8" s="18" t="s">
        <v>631</v>
      </c>
    </row>
    <row r="9" spans="1:11" ht="55.5" customHeight="1">
      <c r="A9" s="17" t="s">
        <v>647</v>
      </c>
      <c r="B9" s="18" t="s">
        <v>612</v>
      </c>
      <c r="C9" s="18" t="s">
        <v>648</v>
      </c>
      <c r="D9" s="19" t="s">
        <v>44</v>
      </c>
      <c r="E9" s="17" t="s">
        <v>47</v>
      </c>
      <c r="F9" s="18" t="s">
        <v>649</v>
      </c>
      <c r="G9" s="18" t="s">
        <v>650</v>
      </c>
      <c r="H9" s="18" t="s">
        <v>651</v>
      </c>
      <c r="I9" s="18"/>
      <c r="J9" s="16" t="s">
        <v>51</v>
      </c>
      <c r="K9" s="18" t="s">
        <v>631</v>
      </c>
    </row>
    <row r="10" spans="1:11" ht="69.75" customHeight="1">
      <c r="A10" s="13" t="s">
        <v>652</v>
      </c>
      <c r="B10" s="14" t="s">
        <v>612</v>
      </c>
      <c r="C10" s="14" t="s">
        <v>653</v>
      </c>
      <c r="D10" s="15" t="s">
        <v>43</v>
      </c>
      <c r="E10" s="13" t="s">
        <v>46</v>
      </c>
      <c r="F10" s="14" t="s">
        <v>654</v>
      </c>
      <c r="G10" s="14" t="s">
        <v>655</v>
      </c>
      <c r="H10" s="14" t="s">
        <v>656</v>
      </c>
      <c r="I10" s="14"/>
      <c r="J10" s="16" t="s">
        <v>51</v>
      </c>
      <c r="K10" s="14"/>
    </row>
    <row r="11" spans="1:11" ht="42" customHeight="1">
      <c r="A11" s="17" t="s">
        <v>657</v>
      </c>
      <c r="B11" s="18" t="s">
        <v>612</v>
      </c>
      <c r="C11" s="18" t="s">
        <v>658</v>
      </c>
      <c r="D11" s="19" t="s">
        <v>44</v>
      </c>
      <c r="E11" s="17" t="s">
        <v>46</v>
      </c>
      <c r="F11" s="18" t="s">
        <v>659</v>
      </c>
      <c r="G11" s="18" t="s">
        <v>660</v>
      </c>
      <c r="H11" s="18" t="s">
        <v>661</v>
      </c>
      <c r="I11" s="18"/>
      <c r="J11" s="16" t="s">
        <v>51</v>
      </c>
      <c r="K11" s="18"/>
    </row>
    <row r="12" spans="1:11" ht="55.5" customHeight="1">
      <c r="A12" s="17" t="s">
        <v>662</v>
      </c>
      <c r="B12" s="18" t="s">
        <v>612</v>
      </c>
      <c r="C12" s="18" t="s">
        <v>663</v>
      </c>
      <c r="D12" s="19" t="s">
        <v>44</v>
      </c>
      <c r="E12" s="17" t="s">
        <v>46</v>
      </c>
      <c r="F12" s="18" t="s">
        <v>664</v>
      </c>
      <c r="G12" s="18" t="s">
        <v>665</v>
      </c>
      <c r="H12" s="18" t="s">
        <v>666</v>
      </c>
      <c r="I12" s="18"/>
      <c r="J12" s="16" t="s">
        <v>51</v>
      </c>
      <c r="K12" s="18" t="s">
        <v>631</v>
      </c>
    </row>
    <row r="13" spans="1:11" ht="55.5" customHeight="1">
      <c r="A13" s="17" t="s">
        <v>667</v>
      </c>
      <c r="B13" s="18" t="s">
        <v>612</v>
      </c>
      <c r="C13" s="18" t="s">
        <v>668</v>
      </c>
      <c r="D13" s="19" t="s">
        <v>44</v>
      </c>
      <c r="E13" s="17" t="s">
        <v>47</v>
      </c>
      <c r="F13" s="18" t="s">
        <v>669</v>
      </c>
      <c r="G13" s="18" t="s">
        <v>670</v>
      </c>
      <c r="H13" s="18" t="s">
        <v>651</v>
      </c>
      <c r="I13" s="18"/>
      <c r="J13" s="16" t="s">
        <v>51</v>
      </c>
      <c r="K13" s="18" t="s">
        <v>631</v>
      </c>
    </row>
    <row r="14" spans="1:11" ht="55.5" customHeight="1">
      <c r="A14" s="13" t="s">
        <v>671</v>
      </c>
      <c r="B14" s="14" t="s">
        <v>612</v>
      </c>
      <c r="C14" s="14" t="s">
        <v>672</v>
      </c>
      <c r="D14" s="15" t="s">
        <v>43</v>
      </c>
      <c r="E14" s="13" t="s">
        <v>46</v>
      </c>
      <c r="F14" s="14" t="s">
        <v>673</v>
      </c>
      <c r="G14" s="14" t="s">
        <v>674</v>
      </c>
      <c r="H14" s="14" t="s">
        <v>675</v>
      </c>
      <c r="I14" s="14"/>
      <c r="J14" s="16" t="s">
        <v>51</v>
      </c>
      <c r="K14" s="14"/>
    </row>
    <row r="15" spans="1:11" ht="42" customHeight="1">
      <c r="A15" s="17" t="s">
        <v>676</v>
      </c>
      <c r="B15" s="18" t="s">
        <v>612</v>
      </c>
      <c r="C15" s="18" t="s">
        <v>677</v>
      </c>
      <c r="D15" s="19" t="s">
        <v>44</v>
      </c>
      <c r="E15" s="17" t="s">
        <v>46</v>
      </c>
      <c r="F15" s="18" t="s">
        <v>678</v>
      </c>
      <c r="G15" s="18" t="s">
        <v>679</v>
      </c>
      <c r="H15" s="18" t="s">
        <v>680</v>
      </c>
      <c r="I15" s="18"/>
      <c r="J15" s="16" t="s">
        <v>51</v>
      </c>
      <c r="K15" s="18"/>
    </row>
    <row r="16" spans="1:11" ht="42" customHeight="1">
      <c r="A16" s="17" t="s">
        <v>681</v>
      </c>
      <c r="B16" s="18" t="s">
        <v>612</v>
      </c>
      <c r="C16" s="18" t="s">
        <v>682</v>
      </c>
      <c r="D16" s="19" t="s">
        <v>44</v>
      </c>
      <c r="E16" s="17" t="s">
        <v>46</v>
      </c>
      <c r="F16" s="18" t="s">
        <v>683</v>
      </c>
      <c r="G16" s="18" t="s">
        <v>684</v>
      </c>
      <c r="H16" s="18" t="s">
        <v>156</v>
      </c>
      <c r="I16" s="18"/>
      <c r="J16" s="16" t="s">
        <v>51</v>
      </c>
      <c r="K16" s="18"/>
    </row>
    <row r="17" spans="1:11" ht="42" customHeight="1">
      <c r="A17" s="17" t="s">
        <v>685</v>
      </c>
      <c r="B17" s="18" t="s">
        <v>612</v>
      </c>
      <c r="C17" s="18" t="s">
        <v>686</v>
      </c>
      <c r="D17" s="19" t="s">
        <v>44</v>
      </c>
      <c r="E17" s="17" t="s">
        <v>47</v>
      </c>
      <c r="F17" s="18" t="s">
        <v>687</v>
      </c>
      <c r="G17" s="18" t="s">
        <v>688</v>
      </c>
      <c r="H17" s="18" t="s">
        <v>630</v>
      </c>
      <c r="I17" s="18"/>
      <c r="J17" s="16" t="s">
        <v>51</v>
      </c>
      <c r="K17" s="18" t="s">
        <v>631</v>
      </c>
    </row>
    <row r="18" spans="1:11" ht="55.5" customHeight="1">
      <c r="A18" s="13" t="s">
        <v>689</v>
      </c>
      <c r="B18" s="14" t="s">
        <v>612</v>
      </c>
      <c r="C18" s="14" t="s">
        <v>690</v>
      </c>
      <c r="D18" s="15" t="s">
        <v>43</v>
      </c>
      <c r="E18" s="13" t="s">
        <v>46</v>
      </c>
      <c r="F18" s="14" t="s">
        <v>691</v>
      </c>
      <c r="G18" s="14" t="s">
        <v>692</v>
      </c>
      <c r="H18" s="14" t="s">
        <v>693</v>
      </c>
      <c r="I18" s="14"/>
      <c r="J18" s="16" t="s">
        <v>51</v>
      </c>
      <c r="K18" s="14"/>
    </row>
    <row r="19" spans="1:11" ht="42" customHeight="1">
      <c r="A19" s="17" t="s">
        <v>694</v>
      </c>
      <c r="B19" s="18" t="s">
        <v>612</v>
      </c>
      <c r="C19" s="18" t="s">
        <v>695</v>
      </c>
      <c r="D19" s="19" t="s">
        <v>44</v>
      </c>
      <c r="E19" s="17" t="s">
        <v>46</v>
      </c>
      <c r="F19" s="18" t="s">
        <v>696</v>
      </c>
      <c r="G19" s="18" t="s">
        <v>697</v>
      </c>
      <c r="H19" s="18" t="s">
        <v>156</v>
      </c>
      <c r="I19" s="18"/>
      <c r="J19" s="16" t="s">
        <v>51</v>
      </c>
      <c r="K19" s="18"/>
    </row>
    <row r="20" spans="1:11" ht="42" customHeight="1">
      <c r="A20" s="17" t="s">
        <v>698</v>
      </c>
      <c r="B20" s="18" t="s">
        <v>612</v>
      </c>
      <c r="C20" s="18" t="s">
        <v>699</v>
      </c>
      <c r="D20" s="19" t="s">
        <v>44</v>
      </c>
      <c r="E20" s="17" t="s">
        <v>47</v>
      </c>
      <c r="F20" s="18" t="s">
        <v>700</v>
      </c>
      <c r="G20" s="18" t="s">
        <v>701</v>
      </c>
      <c r="H20" s="18" t="s">
        <v>630</v>
      </c>
      <c r="I20" s="18"/>
      <c r="J20" s="16" t="s">
        <v>51</v>
      </c>
      <c r="K20" s="18" t="s">
        <v>631</v>
      </c>
    </row>
    <row r="21" spans="1:11" ht="42" customHeight="1">
      <c r="A21" s="13" t="s">
        <v>702</v>
      </c>
      <c r="B21" s="14" t="s">
        <v>612</v>
      </c>
      <c r="C21" s="14" t="s">
        <v>703</v>
      </c>
      <c r="D21" s="15" t="s">
        <v>43</v>
      </c>
      <c r="E21" s="13" t="s">
        <v>46</v>
      </c>
      <c r="F21" s="14" t="s">
        <v>704</v>
      </c>
      <c r="G21" s="14" t="s">
        <v>705</v>
      </c>
      <c r="H21" s="14" t="s">
        <v>706</v>
      </c>
      <c r="I21" s="14"/>
      <c r="J21" s="16" t="s">
        <v>51</v>
      </c>
      <c r="K21" s="14"/>
    </row>
    <row r="22" spans="1:11" ht="27.75" customHeight="1">
      <c r="A22" s="17" t="s">
        <v>707</v>
      </c>
      <c r="B22" s="18" t="s">
        <v>612</v>
      </c>
      <c r="C22" s="18" t="s">
        <v>708</v>
      </c>
      <c r="D22" s="19" t="s">
        <v>44</v>
      </c>
      <c r="E22" s="17" t="s">
        <v>46</v>
      </c>
      <c r="F22" s="18" t="s">
        <v>709</v>
      </c>
      <c r="G22" s="18" t="s">
        <v>710</v>
      </c>
      <c r="H22" s="18" t="s">
        <v>711</v>
      </c>
      <c r="I22" s="18"/>
      <c r="J22" s="16" t="s">
        <v>51</v>
      </c>
      <c r="K22" s="18"/>
    </row>
    <row r="23" spans="1:11" ht="42" customHeight="1">
      <c r="A23" s="17" t="s">
        <v>712</v>
      </c>
      <c r="B23" s="18" t="s">
        <v>612</v>
      </c>
      <c r="C23" s="18" t="s">
        <v>713</v>
      </c>
      <c r="D23" s="19" t="s">
        <v>44</v>
      </c>
      <c r="E23" s="17" t="s">
        <v>46</v>
      </c>
      <c r="F23" s="18" t="s">
        <v>714</v>
      </c>
      <c r="G23" s="18" t="s">
        <v>715</v>
      </c>
      <c r="H23" s="18" t="s">
        <v>156</v>
      </c>
      <c r="I23" s="18"/>
      <c r="J23" s="16" t="s">
        <v>51</v>
      </c>
      <c r="K23" s="18"/>
    </row>
    <row r="24" spans="1:11" ht="42" customHeight="1">
      <c r="A24" s="17" t="s">
        <v>716</v>
      </c>
      <c r="B24" s="18" t="s">
        <v>612</v>
      </c>
      <c r="C24" s="18" t="s">
        <v>717</v>
      </c>
      <c r="D24" s="19" t="s">
        <v>44</v>
      </c>
      <c r="E24" s="17" t="s">
        <v>47</v>
      </c>
      <c r="F24" s="18" t="s">
        <v>718</v>
      </c>
      <c r="G24" s="18" t="s">
        <v>719</v>
      </c>
      <c r="H24" s="18" t="s">
        <v>630</v>
      </c>
      <c r="I24" s="18"/>
      <c r="J24" s="16" t="s">
        <v>51</v>
      </c>
      <c r="K24" s="18" t="s">
        <v>631</v>
      </c>
    </row>
    <row r="25" spans="1:11" ht="69.75" customHeight="1">
      <c r="A25" s="13" t="s">
        <v>720</v>
      </c>
      <c r="B25" s="14" t="s">
        <v>612</v>
      </c>
      <c r="C25" s="14" t="s">
        <v>721</v>
      </c>
      <c r="D25" s="15" t="s">
        <v>43</v>
      </c>
      <c r="E25" s="13" t="s">
        <v>46</v>
      </c>
      <c r="F25" s="14" t="s">
        <v>722</v>
      </c>
      <c r="G25" s="14" t="s">
        <v>723</v>
      </c>
      <c r="H25" s="14" t="s">
        <v>724</v>
      </c>
      <c r="I25" s="14"/>
      <c r="J25" s="16" t="s">
        <v>51</v>
      </c>
      <c r="K25" s="14"/>
    </row>
    <row r="26" spans="1:11" ht="27.75" customHeight="1">
      <c r="A26" s="17" t="s">
        <v>725</v>
      </c>
      <c r="B26" s="18" t="s">
        <v>612</v>
      </c>
      <c r="C26" s="18" t="s">
        <v>726</v>
      </c>
      <c r="D26" s="19" t="s">
        <v>44</v>
      </c>
      <c r="E26" s="17" t="s">
        <v>46</v>
      </c>
      <c r="F26" s="18" t="s">
        <v>727</v>
      </c>
      <c r="G26" s="18" t="s">
        <v>728</v>
      </c>
      <c r="H26" s="18" t="s">
        <v>729</v>
      </c>
      <c r="I26" s="18"/>
      <c r="J26" s="16" t="s">
        <v>51</v>
      </c>
      <c r="K26" s="18"/>
    </row>
    <row r="27" spans="1:11" ht="55.5" customHeight="1">
      <c r="A27" s="17" t="s">
        <v>730</v>
      </c>
      <c r="B27" s="18" t="s">
        <v>612</v>
      </c>
      <c r="C27" s="18" t="s">
        <v>731</v>
      </c>
      <c r="D27" s="19" t="s">
        <v>44</v>
      </c>
      <c r="E27" s="17" t="s">
        <v>46</v>
      </c>
      <c r="F27" s="18" t="s">
        <v>732</v>
      </c>
      <c r="G27" s="18" t="s">
        <v>733</v>
      </c>
      <c r="H27" s="18" t="s">
        <v>734</v>
      </c>
      <c r="I27" s="18"/>
      <c r="J27" s="16" t="s">
        <v>51</v>
      </c>
      <c r="K27" s="18" t="s">
        <v>631</v>
      </c>
    </row>
    <row r="28" spans="1:11" ht="55.5" customHeight="1">
      <c r="A28" s="17" t="s">
        <v>735</v>
      </c>
      <c r="B28" s="18" t="s">
        <v>612</v>
      </c>
      <c r="C28" s="18" t="s">
        <v>736</v>
      </c>
      <c r="D28" s="19" t="s">
        <v>44</v>
      </c>
      <c r="E28" s="17" t="s">
        <v>47</v>
      </c>
      <c r="F28" s="18" t="s">
        <v>737</v>
      </c>
      <c r="G28" s="18" t="s">
        <v>738</v>
      </c>
      <c r="H28" s="18" t="s">
        <v>651</v>
      </c>
      <c r="I28" s="18"/>
      <c r="J28" s="16" t="s">
        <v>51</v>
      </c>
      <c r="K28" s="18" t="s">
        <v>631</v>
      </c>
    </row>
    <row r="29" spans="1:11" ht="42" customHeight="1">
      <c r="A29" s="13" t="s">
        <v>739</v>
      </c>
      <c r="B29" s="14" t="s">
        <v>612</v>
      </c>
      <c r="C29" s="14" t="s">
        <v>740</v>
      </c>
      <c r="D29" s="15" t="s">
        <v>43</v>
      </c>
      <c r="E29" s="13" t="s">
        <v>46</v>
      </c>
      <c r="F29" s="14" t="s">
        <v>741</v>
      </c>
      <c r="G29" s="14" t="s">
        <v>742</v>
      </c>
      <c r="H29" s="14" t="s">
        <v>743</v>
      </c>
      <c r="I29" s="14"/>
      <c r="J29" s="16" t="s">
        <v>51</v>
      </c>
      <c r="K29" s="14"/>
    </row>
    <row r="30" spans="1:11" ht="42" customHeight="1">
      <c r="A30" s="17" t="s">
        <v>744</v>
      </c>
      <c r="B30" s="18" t="s">
        <v>612</v>
      </c>
      <c r="C30" s="18" t="s">
        <v>745</v>
      </c>
      <c r="D30" s="19" t="s">
        <v>44</v>
      </c>
      <c r="E30" s="17" t="s">
        <v>46</v>
      </c>
      <c r="F30" s="18" t="s">
        <v>746</v>
      </c>
      <c r="G30" s="18" t="s">
        <v>747</v>
      </c>
      <c r="H30" s="18" t="s">
        <v>748</v>
      </c>
      <c r="I30" s="18"/>
      <c r="J30" s="16" t="s">
        <v>51</v>
      </c>
      <c r="K30" s="18"/>
    </row>
    <row r="31" spans="1:11" ht="42" customHeight="1">
      <c r="A31" s="13" t="s">
        <v>749</v>
      </c>
      <c r="B31" s="14" t="s">
        <v>612</v>
      </c>
      <c r="C31" s="14" t="s">
        <v>750</v>
      </c>
      <c r="D31" s="15" t="s">
        <v>43</v>
      </c>
      <c r="E31" s="13" t="s">
        <v>47</v>
      </c>
      <c r="F31" s="14" t="s">
        <v>751</v>
      </c>
      <c r="G31" s="14" t="s">
        <v>752</v>
      </c>
      <c r="H31" s="14" t="s">
        <v>753</v>
      </c>
      <c r="I31" s="14"/>
      <c r="J31" s="16" t="s">
        <v>51</v>
      </c>
      <c r="K31" s="14" t="s">
        <v>631</v>
      </c>
    </row>
    <row r="32" spans="1:11" ht="42" customHeight="1">
      <c r="A32" s="13" t="s">
        <v>754</v>
      </c>
      <c r="B32" s="14" t="s">
        <v>612</v>
      </c>
      <c r="C32" s="14" t="s">
        <v>755</v>
      </c>
      <c r="D32" s="15" t="s">
        <v>43</v>
      </c>
      <c r="E32" s="13" t="s">
        <v>46</v>
      </c>
      <c r="F32" s="14" t="s">
        <v>756</v>
      </c>
      <c r="G32" s="14" t="s">
        <v>757</v>
      </c>
      <c r="H32" s="14" t="s">
        <v>758</v>
      </c>
      <c r="I32" s="14"/>
      <c r="J32" s="16" t="s">
        <v>51</v>
      </c>
      <c r="K32" s="14"/>
    </row>
    <row r="33" spans="1:11" ht="27.75" customHeight="1">
      <c r="A33" s="17" t="s">
        <v>759</v>
      </c>
      <c r="B33" s="18" t="s">
        <v>612</v>
      </c>
      <c r="C33" s="18" t="s">
        <v>760</v>
      </c>
      <c r="D33" s="19" t="s">
        <v>44</v>
      </c>
      <c r="E33" s="17" t="s">
        <v>46</v>
      </c>
      <c r="F33" s="18" t="s">
        <v>761</v>
      </c>
      <c r="G33" s="18" t="s">
        <v>762</v>
      </c>
      <c r="H33" s="18" t="s">
        <v>763</v>
      </c>
      <c r="I33" s="18"/>
      <c r="J33" s="16" t="s">
        <v>51</v>
      </c>
      <c r="K33" s="18"/>
    </row>
    <row r="34" spans="1:11" ht="42" customHeight="1">
      <c r="A34" s="17" t="s">
        <v>764</v>
      </c>
      <c r="B34" s="18" t="s">
        <v>612</v>
      </c>
      <c r="C34" s="18" t="s">
        <v>765</v>
      </c>
      <c r="D34" s="19" t="s">
        <v>44</v>
      </c>
      <c r="E34" s="17" t="s">
        <v>46</v>
      </c>
      <c r="F34" s="18" t="s">
        <v>766</v>
      </c>
      <c r="G34" s="18" t="s">
        <v>767</v>
      </c>
      <c r="H34" s="18" t="s">
        <v>768</v>
      </c>
      <c r="I34" s="18"/>
      <c r="J34" s="16" t="s">
        <v>51</v>
      </c>
      <c r="K34" s="18"/>
    </row>
    <row r="35" spans="1:11" ht="69.75" customHeight="1">
      <c r="A35" s="13" t="s">
        <v>769</v>
      </c>
      <c r="B35" s="14" t="s">
        <v>612</v>
      </c>
      <c r="C35" s="14" t="s">
        <v>770</v>
      </c>
      <c r="D35" s="15" t="s">
        <v>43</v>
      </c>
      <c r="E35" s="13" t="s">
        <v>46</v>
      </c>
      <c r="F35" s="14" t="s">
        <v>771</v>
      </c>
      <c r="G35" s="14" t="s">
        <v>772</v>
      </c>
      <c r="H35" s="14" t="s">
        <v>773</v>
      </c>
      <c r="I35" s="14"/>
      <c r="J35" s="16" t="s">
        <v>51</v>
      </c>
      <c r="K35" s="14"/>
    </row>
    <row r="36" spans="1:11" ht="42" customHeight="1">
      <c r="A36" s="17" t="s">
        <v>774</v>
      </c>
      <c r="B36" s="18" t="s">
        <v>612</v>
      </c>
      <c r="C36" s="18" t="s">
        <v>775</v>
      </c>
      <c r="D36" s="19" t="s">
        <v>44</v>
      </c>
      <c r="E36" s="17" t="s">
        <v>46</v>
      </c>
      <c r="F36" s="18" t="s">
        <v>776</v>
      </c>
      <c r="G36" s="18" t="s">
        <v>777</v>
      </c>
      <c r="H36" s="18" t="s">
        <v>778</v>
      </c>
      <c r="I36" s="18"/>
      <c r="J36" s="16" t="s">
        <v>51</v>
      </c>
      <c r="K36" s="18"/>
    </row>
    <row r="37" spans="1:11" ht="55.5" customHeight="1">
      <c r="A37" s="17" t="s">
        <v>779</v>
      </c>
      <c r="B37" s="18" t="s">
        <v>612</v>
      </c>
      <c r="C37" s="18" t="s">
        <v>780</v>
      </c>
      <c r="D37" s="19" t="s">
        <v>44</v>
      </c>
      <c r="E37" s="17" t="s">
        <v>46</v>
      </c>
      <c r="F37" s="18" t="s">
        <v>781</v>
      </c>
      <c r="G37" s="18" t="s">
        <v>782</v>
      </c>
      <c r="H37" s="18" t="s">
        <v>783</v>
      </c>
      <c r="I37" s="18"/>
      <c r="J37" s="16" t="s">
        <v>51</v>
      </c>
      <c r="K37" s="18" t="s">
        <v>631</v>
      </c>
    </row>
    <row r="38" spans="1:11" ht="55.5" customHeight="1">
      <c r="A38" s="17" t="s">
        <v>784</v>
      </c>
      <c r="B38" s="18" t="s">
        <v>612</v>
      </c>
      <c r="C38" s="18" t="s">
        <v>785</v>
      </c>
      <c r="D38" s="19" t="s">
        <v>44</v>
      </c>
      <c r="E38" s="17" t="s">
        <v>47</v>
      </c>
      <c r="F38" s="18" t="s">
        <v>786</v>
      </c>
      <c r="G38" s="18" t="s">
        <v>787</v>
      </c>
      <c r="H38" s="18" t="s">
        <v>651</v>
      </c>
      <c r="I38" s="18"/>
      <c r="J38" s="16" t="s">
        <v>51</v>
      </c>
      <c r="K38" s="18" t="s">
        <v>631</v>
      </c>
    </row>
    <row r="39" spans="1:11" ht="55.5" customHeight="1">
      <c r="A39" s="13" t="s">
        <v>788</v>
      </c>
      <c r="B39" s="14" t="s">
        <v>612</v>
      </c>
      <c r="C39" s="14" t="s">
        <v>789</v>
      </c>
      <c r="D39" s="15" t="s">
        <v>43</v>
      </c>
      <c r="E39" s="13" t="s">
        <v>46</v>
      </c>
      <c r="F39" s="14" t="s">
        <v>790</v>
      </c>
      <c r="G39" s="14" t="s">
        <v>791</v>
      </c>
      <c r="H39" s="14" t="s">
        <v>758</v>
      </c>
      <c r="I39" s="14"/>
      <c r="J39" s="16" t="s">
        <v>51</v>
      </c>
      <c r="K39" s="14"/>
    </row>
    <row r="40" spans="1:11" ht="27.75" customHeight="1">
      <c r="A40" s="17" t="s">
        <v>792</v>
      </c>
      <c r="B40" s="18" t="s">
        <v>612</v>
      </c>
      <c r="C40" s="18" t="s">
        <v>793</v>
      </c>
      <c r="D40" s="19" t="s">
        <v>44</v>
      </c>
      <c r="E40" s="17" t="s">
        <v>46</v>
      </c>
      <c r="F40" s="18" t="s">
        <v>794</v>
      </c>
      <c r="G40" s="18" t="s">
        <v>795</v>
      </c>
      <c r="H40" s="18" t="s">
        <v>796</v>
      </c>
      <c r="I40" s="18"/>
      <c r="J40" s="16" t="s">
        <v>51</v>
      </c>
      <c r="K40" s="18"/>
    </row>
    <row r="41" spans="1:11" ht="42" customHeight="1">
      <c r="A41" s="17" t="s">
        <v>797</v>
      </c>
      <c r="B41" s="18" t="s">
        <v>612</v>
      </c>
      <c r="C41" s="18" t="s">
        <v>798</v>
      </c>
      <c r="D41" s="19" t="s">
        <v>44</v>
      </c>
      <c r="E41" s="17" t="s">
        <v>46</v>
      </c>
      <c r="F41" s="18" t="s">
        <v>799</v>
      </c>
      <c r="G41" s="18" t="s">
        <v>800</v>
      </c>
      <c r="H41" s="18" t="s">
        <v>801</v>
      </c>
      <c r="I41" s="18"/>
      <c r="J41" s="16" t="s">
        <v>51</v>
      </c>
      <c r="K41" s="18"/>
    </row>
    <row r="42" spans="1:11" ht="42" customHeight="1">
      <c r="A42" s="13" t="s">
        <v>802</v>
      </c>
      <c r="B42" s="14" t="s">
        <v>612</v>
      </c>
      <c r="C42" s="14" t="s">
        <v>803</v>
      </c>
      <c r="D42" s="15" t="s">
        <v>43</v>
      </c>
      <c r="E42" s="13" t="s">
        <v>46</v>
      </c>
      <c r="F42" s="14" t="s">
        <v>804</v>
      </c>
      <c r="G42" s="14" t="s">
        <v>805</v>
      </c>
      <c r="H42" s="14" t="s">
        <v>743</v>
      </c>
      <c r="I42" s="14"/>
      <c r="J42" s="16" t="s">
        <v>51</v>
      </c>
      <c r="K42" s="14"/>
    </row>
    <row r="43" spans="1:11" ht="42" customHeight="1">
      <c r="A43" s="17" t="s">
        <v>806</v>
      </c>
      <c r="B43" s="18" t="s">
        <v>612</v>
      </c>
      <c r="C43" s="18" t="s">
        <v>807</v>
      </c>
      <c r="D43" s="19" t="s">
        <v>44</v>
      </c>
      <c r="E43" s="17" t="s">
        <v>46</v>
      </c>
      <c r="F43" s="18" t="s">
        <v>808</v>
      </c>
      <c r="G43" s="18" t="s">
        <v>809</v>
      </c>
      <c r="H43" s="18" t="s">
        <v>810</v>
      </c>
      <c r="I43" s="18"/>
      <c r="J43" s="16" t="s">
        <v>51</v>
      </c>
      <c r="K43" s="18"/>
    </row>
    <row r="44" spans="1:11" ht="42" customHeight="1">
      <c r="A44" s="13" t="s">
        <v>811</v>
      </c>
      <c r="B44" s="14" t="s">
        <v>612</v>
      </c>
      <c r="C44" s="14" t="s">
        <v>812</v>
      </c>
      <c r="D44" s="15" t="s">
        <v>43</v>
      </c>
      <c r="E44" s="13" t="s">
        <v>47</v>
      </c>
      <c r="F44" s="14" t="s">
        <v>813</v>
      </c>
      <c r="G44" s="14" t="s">
        <v>814</v>
      </c>
      <c r="H44" s="14" t="s">
        <v>753</v>
      </c>
      <c r="I44" s="14"/>
      <c r="J44" s="16" t="s">
        <v>51</v>
      </c>
      <c r="K44" s="14" t="s">
        <v>631</v>
      </c>
    </row>
    <row r="45" spans="1:11" ht="55.5" customHeight="1">
      <c r="A45" s="13" t="s">
        <v>815</v>
      </c>
      <c r="B45" s="14" t="s">
        <v>612</v>
      </c>
      <c r="C45" s="14" t="s">
        <v>816</v>
      </c>
      <c r="D45" s="15" t="s">
        <v>43</v>
      </c>
      <c r="E45" s="13" t="s">
        <v>46</v>
      </c>
      <c r="F45" s="14" t="s">
        <v>817</v>
      </c>
      <c r="G45" s="14" t="s">
        <v>818</v>
      </c>
      <c r="H45" s="14" t="s">
        <v>819</v>
      </c>
      <c r="I45" s="14"/>
      <c r="J45" s="16" t="s">
        <v>51</v>
      </c>
      <c r="K45" s="14"/>
    </row>
    <row r="46" spans="1:11" ht="27.75" customHeight="1">
      <c r="A46" s="17" t="s">
        <v>820</v>
      </c>
      <c r="B46" s="18" t="s">
        <v>612</v>
      </c>
      <c r="C46" s="18" t="s">
        <v>821</v>
      </c>
      <c r="D46" s="19" t="s">
        <v>44</v>
      </c>
      <c r="E46" s="17" t="s">
        <v>46</v>
      </c>
      <c r="F46" s="18" t="s">
        <v>822</v>
      </c>
      <c r="G46" s="18" t="s">
        <v>823</v>
      </c>
      <c r="H46" s="18" t="s">
        <v>824</v>
      </c>
      <c r="I46" s="18"/>
      <c r="J46" s="16" t="s">
        <v>51</v>
      </c>
      <c r="K46" s="18"/>
    </row>
    <row r="47" spans="1:11" ht="42" customHeight="1">
      <c r="A47" s="17" t="s">
        <v>825</v>
      </c>
      <c r="B47" s="18" t="s">
        <v>612</v>
      </c>
      <c r="C47" s="18" t="s">
        <v>826</v>
      </c>
      <c r="D47" s="19" t="s">
        <v>44</v>
      </c>
      <c r="E47" s="17" t="s">
        <v>46</v>
      </c>
      <c r="F47" s="18" t="s">
        <v>827</v>
      </c>
      <c r="G47" s="18" t="s">
        <v>828</v>
      </c>
      <c r="H47" s="18" t="s">
        <v>829</v>
      </c>
      <c r="I47" s="18"/>
      <c r="J47" s="16" t="s">
        <v>51</v>
      </c>
      <c r="K47" s="18" t="s">
        <v>631</v>
      </c>
    </row>
    <row r="48" spans="1:11" ht="42" customHeight="1">
      <c r="A48" s="17" t="s">
        <v>830</v>
      </c>
      <c r="B48" s="18" t="s">
        <v>612</v>
      </c>
      <c r="C48" s="18" t="s">
        <v>831</v>
      </c>
      <c r="D48" s="19" t="s">
        <v>44</v>
      </c>
      <c r="E48" s="17" t="s">
        <v>46</v>
      </c>
      <c r="F48" s="18" t="s">
        <v>832</v>
      </c>
      <c r="G48" s="18" t="s">
        <v>833</v>
      </c>
      <c r="H48" s="18" t="s">
        <v>834</v>
      </c>
      <c r="I48" s="18"/>
      <c r="J48" s="16" t="s">
        <v>51</v>
      </c>
      <c r="K48" s="18"/>
    </row>
    <row r="49" spans="1:11" ht="55.5" customHeight="1">
      <c r="A49" s="13" t="s">
        <v>835</v>
      </c>
      <c r="B49" s="14" t="s">
        <v>612</v>
      </c>
      <c r="C49" s="14" t="s">
        <v>836</v>
      </c>
      <c r="D49" s="15" t="s">
        <v>43</v>
      </c>
      <c r="E49" s="13" t="s">
        <v>46</v>
      </c>
      <c r="F49" s="14" t="s">
        <v>837</v>
      </c>
      <c r="G49" s="14" t="s">
        <v>838</v>
      </c>
      <c r="H49" s="14" t="s">
        <v>839</v>
      </c>
      <c r="I49" s="14"/>
      <c r="J49" s="16" t="s">
        <v>51</v>
      </c>
      <c r="K49" s="14"/>
    </row>
    <row r="50" spans="1:11" ht="42" customHeight="1">
      <c r="A50" s="17" t="s">
        <v>840</v>
      </c>
      <c r="B50" s="18" t="s">
        <v>612</v>
      </c>
      <c r="C50" s="18" t="s">
        <v>841</v>
      </c>
      <c r="D50" s="19" t="s">
        <v>44</v>
      </c>
      <c r="E50" s="17" t="s">
        <v>46</v>
      </c>
      <c r="F50" s="18" t="s">
        <v>842</v>
      </c>
      <c r="G50" s="18" t="s">
        <v>843</v>
      </c>
      <c r="H50" s="18" t="s">
        <v>844</v>
      </c>
      <c r="I50" s="18"/>
      <c r="J50" s="16" t="s">
        <v>51</v>
      </c>
      <c r="K50" s="18"/>
    </row>
    <row r="51" spans="1:11" ht="42" customHeight="1">
      <c r="A51" s="17" t="s">
        <v>845</v>
      </c>
      <c r="B51" s="18" t="s">
        <v>612</v>
      </c>
      <c r="C51" s="18" t="s">
        <v>846</v>
      </c>
      <c r="D51" s="19" t="s">
        <v>44</v>
      </c>
      <c r="E51" s="17" t="s">
        <v>46</v>
      </c>
      <c r="F51" s="18" t="s">
        <v>847</v>
      </c>
      <c r="G51" s="18" t="s">
        <v>848</v>
      </c>
      <c r="H51" s="18" t="s">
        <v>156</v>
      </c>
      <c r="I51" s="18"/>
      <c r="J51" s="16" t="s">
        <v>51</v>
      </c>
      <c r="K51" s="18"/>
    </row>
    <row r="52" spans="1:11" ht="42" customHeight="1">
      <c r="A52" s="17" t="s">
        <v>849</v>
      </c>
      <c r="B52" s="18" t="s">
        <v>612</v>
      </c>
      <c r="C52" s="18" t="s">
        <v>850</v>
      </c>
      <c r="D52" s="19" t="s">
        <v>44</v>
      </c>
      <c r="E52" s="17" t="s">
        <v>47</v>
      </c>
      <c r="F52" s="18" t="s">
        <v>851</v>
      </c>
      <c r="G52" s="18" t="s">
        <v>852</v>
      </c>
      <c r="H52" s="18" t="s">
        <v>630</v>
      </c>
      <c r="I52" s="18"/>
      <c r="J52" s="16" t="s">
        <v>51</v>
      </c>
      <c r="K52" s="18" t="s">
        <v>631</v>
      </c>
    </row>
    <row r="53" spans="1:11" ht="55.5" customHeight="1">
      <c r="A53" s="13" t="s">
        <v>853</v>
      </c>
      <c r="B53" s="14" t="s">
        <v>612</v>
      </c>
      <c r="C53" s="14" t="s">
        <v>854</v>
      </c>
      <c r="D53" s="15" t="s">
        <v>43</v>
      </c>
      <c r="E53" s="13" t="s">
        <v>46</v>
      </c>
      <c r="F53" s="14" t="s">
        <v>855</v>
      </c>
      <c r="G53" s="14" t="s">
        <v>856</v>
      </c>
      <c r="H53" s="14" t="s">
        <v>857</v>
      </c>
      <c r="I53" s="14"/>
      <c r="J53" s="16" t="s">
        <v>51</v>
      </c>
      <c r="K53" s="14"/>
    </row>
    <row r="54" spans="1:11" ht="42" customHeight="1">
      <c r="A54" s="17" t="s">
        <v>858</v>
      </c>
      <c r="B54" s="18" t="s">
        <v>612</v>
      </c>
      <c r="C54" s="18" t="s">
        <v>859</v>
      </c>
      <c r="D54" s="19" t="s">
        <v>44</v>
      </c>
      <c r="E54" s="17" t="s">
        <v>46</v>
      </c>
      <c r="F54" s="18" t="s">
        <v>860</v>
      </c>
      <c r="G54" s="18" t="s">
        <v>861</v>
      </c>
      <c r="H54" s="18" t="s">
        <v>862</v>
      </c>
      <c r="I54" s="18"/>
      <c r="J54" s="16" t="s">
        <v>51</v>
      </c>
      <c r="K54" s="18"/>
    </row>
    <row r="55" spans="1:11" ht="42" customHeight="1">
      <c r="A55" s="17" t="s">
        <v>863</v>
      </c>
      <c r="B55" s="18" t="s">
        <v>612</v>
      </c>
      <c r="C55" s="18" t="s">
        <v>864</v>
      </c>
      <c r="D55" s="19" t="s">
        <v>44</v>
      </c>
      <c r="E55" s="17" t="s">
        <v>46</v>
      </c>
      <c r="F55" s="18" t="s">
        <v>865</v>
      </c>
      <c r="G55" s="18" t="s">
        <v>866</v>
      </c>
      <c r="H55" s="18" t="s">
        <v>867</v>
      </c>
      <c r="I55" s="18"/>
      <c r="J55" s="16" t="s">
        <v>51</v>
      </c>
      <c r="K55" s="18" t="s">
        <v>631</v>
      </c>
    </row>
    <row r="56" spans="1:11" ht="69.75" customHeight="1">
      <c r="A56" s="17" t="s">
        <v>868</v>
      </c>
      <c r="B56" s="18" t="s">
        <v>612</v>
      </c>
      <c r="C56" s="18" t="s">
        <v>869</v>
      </c>
      <c r="D56" s="19" t="s">
        <v>44</v>
      </c>
      <c r="E56" s="17" t="s">
        <v>47</v>
      </c>
      <c r="F56" s="18" t="s">
        <v>870</v>
      </c>
      <c r="G56" s="18" t="s">
        <v>871</v>
      </c>
      <c r="H56" s="18" t="s">
        <v>872</v>
      </c>
      <c r="I56" s="18"/>
      <c r="J56" s="16" t="s">
        <v>51</v>
      </c>
      <c r="K56" s="18" t="s">
        <v>631</v>
      </c>
    </row>
    <row r="57" spans="1:11" ht="69.75" customHeight="1">
      <c r="A57" s="17" t="s">
        <v>873</v>
      </c>
      <c r="B57" s="18" t="s">
        <v>612</v>
      </c>
      <c r="C57" s="18" t="s">
        <v>874</v>
      </c>
      <c r="D57" s="19" t="s">
        <v>44</v>
      </c>
      <c r="E57" s="17" t="s">
        <v>47</v>
      </c>
      <c r="F57" s="18" t="s">
        <v>875</v>
      </c>
      <c r="G57" s="18" t="s">
        <v>876</v>
      </c>
      <c r="H57" s="18" t="s">
        <v>877</v>
      </c>
      <c r="I57" s="18"/>
      <c r="J57" s="16" t="s">
        <v>51</v>
      </c>
      <c r="K57" s="18" t="s">
        <v>631</v>
      </c>
    </row>
    <row r="58" spans="1:11" ht="55.5" customHeight="1">
      <c r="A58" s="13" t="s">
        <v>878</v>
      </c>
      <c r="B58" s="14" t="s">
        <v>612</v>
      </c>
      <c r="C58" s="14" t="s">
        <v>879</v>
      </c>
      <c r="D58" s="15" t="s">
        <v>43</v>
      </c>
      <c r="E58" s="13" t="s">
        <v>46</v>
      </c>
      <c r="F58" s="14" t="s">
        <v>880</v>
      </c>
      <c r="G58" s="14" t="s">
        <v>881</v>
      </c>
      <c r="H58" s="14" t="s">
        <v>857</v>
      </c>
      <c r="I58" s="14"/>
      <c r="J58" s="16" t="s">
        <v>51</v>
      </c>
      <c r="K58" s="14"/>
    </row>
    <row r="59" spans="1:11" ht="42" customHeight="1">
      <c r="A59" s="17" t="s">
        <v>882</v>
      </c>
      <c r="B59" s="18" t="s">
        <v>612</v>
      </c>
      <c r="C59" s="18" t="s">
        <v>883</v>
      </c>
      <c r="D59" s="19" t="s">
        <v>44</v>
      </c>
      <c r="E59" s="17" t="s">
        <v>46</v>
      </c>
      <c r="F59" s="18" t="s">
        <v>884</v>
      </c>
      <c r="G59" s="18" t="s">
        <v>885</v>
      </c>
      <c r="H59" s="18" t="s">
        <v>886</v>
      </c>
      <c r="I59" s="18"/>
      <c r="J59" s="16" t="s">
        <v>51</v>
      </c>
      <c r="K59" s="18"/>
    </row>
    <row r="60" spans="1:11" ht="42" customHeight="1">
      <c r="A60" s="17" t="s">
        <v>887</v>
      </c>
      <c r="B60" s="18" t="s">
        <v>612</v>
      </c>
      <c r="C60" s="18" t="s">
        <v>888</v>
      </c>
      <c r="D60" s="19" t="s">
        <v>44</v>
      </c>
      <c r="E60" s="17" t="s">
        <v>46</v>
      </c>
      <c r="F60" s="18" t="s">
        <v>889</v>
      </c>
      <c r="G60" s="18" t="s">
        <v>890</v>
      </c>
      <c r="H60" s="18" t="s">
        <v>867</v>
      </c>
      <c r="I60" s="18"/>
      <c r="J60" s="16" t="s">
        <v>51</v>
      </c>
      <c r="K60" s="18" t="s">
        <v>631</v>
      </c>
    </row>
    <row r="61" spans="1:11" ht="69.75" customHeight="1">
      <c r="A61" s="17" t="s">
        <v>891</v>
      </c>
      <c r="B61" s="18" t="s">
        <v>612</v>
      </c>
      <c r="C61" s="18" t="s">
        <v>892</v>
      </c>
      <c r="D61" s="19" t="s">
        <v>44</v>
      </c>
      <c r="E61" s="17" t="s">
        <v>47</v>
      </c>
      <c r="F61" s="18" t="s">
        <v>893</v>
      </c>
      <c r="G61" s="18" t="s">
        <v>894</v>
      </c>
      <c r="H61" s="18" t="s">
        <v>872</v>
      </c>
      <c r="I61" s="18"/>
      <c r="J61" s="16" t="s">
        <v>51</v>
      </c>
      <c r="K61" s="18" t="s">
        <v>631</v>
      </c>
    </row>
    <row r="62" spans="1:11" ht="84" customHeight="1">
      <c r="A62" s="17" t="s">
        <v>895</v>
      </c>
      <c r="B62" s="18" t="s">
        <v>612</v>
      </c>
      <c r="C62" s="18" t="s">
        <v>896</v>
      </c>
      <c r="D62" s="19" t="s">
        <v>44</v>
      </c>
      <c r="E62" s="17" t="s">
        <v>47</v>
      </c>
      <c r="F62" s="18" t="s">
        <v>897</v>
      </c>
      <c r="G62" s="18" t="s">
        <v>898</v>
      </c>
      <c r="H62" s="18" t="s">
        <v>877</v>
      </c>
      <c r="I62" s="18"/>
      <c r="J62" s="16" t="s">
        <v>51</v>
      </c>
      <c r="K62" s="18" t="s">
        <v>631</v>
      </c>
    </row>
    <row r="63" spans="1:11" ht="55.5" customHeight="1">
      <c r="A63" s="13" t="s">
        <v>899</v>
      </c>
      <c r="B63" s="14" t="s">
        <v>612</v>
      </c>
      <c r="C63" s="14" t="s">
        <v>900</v>
      </c>
      <c r="D63" s="15" t="s">
        <v>43</v>
      </c>
      <c r="E63" s="13" t="s">
        <v>46</v>
      </c>
      <c r="F63" s="14" t="s">
        <v>901</v>
      </c>
      <c r="G63" s="14" t="s">
        <v>902</v>
      </c>
      <c r="H63" s="14" t="s">
        <v>857</v>
      </c>
      <c r="I63" s="14"/>
      <c r="J63" s="16" t="s">
        <v>51</v>
      </c>
      <c r="K63" s="14"/>
    </row>
    <row r="64" spans="1:11" ht="42" customHeight="1">
      <c r="A64" s="17" t="s">
        <v>903</v>
      </c>
      <c r="B64" s="18" t="s">
        <v>612</v>
      </c>
      <c r="C64" s="18" t="s">
        <v>904</v>
      </c>
      <c r="D64" s="19" t="s">
        <v>44</v>
      </c>
      <c r="E64" s="17" t="s">
        <v>46</v>
      </c>
      <c r="F64" s="18" t="s">
        <v>905</v>
      </c>
      <c r="G64" s="18" t="s">
        <v>906</v>
      </c>
      <c r="H64" s="18" t="s">
        <v>907</v>
      </c>
      <c r="I64" s="18"/>
      <c r="J64" s="16" t="s">
        <v>51</v>
      </c>
      <c r="K64" s="18"/>
    </row>
    <row r="65" spans="1:11" ht="42" customHeight="1">
      <c r="A65" s="17" t="s">
        <v>908</v>
      </c>
      <c r="B65" s="18" t="s">
        <v>612</v>
      </c>
      <c r="C65" s="18" t="s">
        <v>909</v>
      </c>
      <c r="D65" s="19" t="s">
        <v>44</v>
      </c>
      <c r="E65" s="17" t="s">
        <v>46</v>
      </c>
      <c r="F65" s="18" t="s">
        <v>910</v>
      </c>
      <c r="G65" s="18" t="s">
        <v>911</v>
      </c>
      <c r="H65" s="18" t="s">
        <v>867</v>
      </c>
      <c r="I65" s="18"/>
      <c r="J65" s="16" t="s">
        <v>51</v>
      </c>
      <c r="K65" s="18" t="s">
        <v>631</v>
      </c>
    </row>
    <row r="66" spans="1:11" ht="69.75" customHeight="1">
      <c r="A66" s="17" t="s">
        <v>912</v>
      </c>
      <c r="B66" s="18" t="s">
        <v>612</v>
      </c>
      <c r="C66" s="18" t="s">
        <v>913</v>
      </c>
      <c r="D66" s="19" t="s">
        <v>44</v>
      </c>
      <c r="E66" s="17" t="s">
        <v>47</v>
      </c>
      <c r="F66" s="18" t="s">
        <v>914</v>
      </c>
      <c r="G66" s="18" t="s">
        <v>915</v>
      </c>
      <c r="H66" s="18" t="s">
        <v>872</v>
      </c>
      <c r="I66" s="18"/>
      <c r="J66" s="16" t="s">
        <v>51</v>
      </c>
      <c r="K66" s="18" t="s">
        <v>631</v>
      </c>
    </row>
    <row r="67" spans="1:11" ht="84" customHeight="1">
      <c r="A67" s="17" t="s">
        <v>916</v>
      </c>
      <c r="B67" s="18" t="s">
        <v>612</v>
      </c>
      <c r="C67" s="18" t="s">
        <v>917</v>
      </c>
      <c r="D67" s="19" t="s">
        <v>44</v>
      </c>
      <c r="E67" s="17" t="s">
        <v>47</v>
      </c>
      <c r="F67" s="18" t="s">
        <v>918</v>
      </c>
      <c r="G67" s="18" t="s">
        <v>919</v>
      </c>
      <c r="H67" s="18" t="s">
        <v>877</v>
      </c>
      <c r="I67" s="18"/>
      <c r="J67" s="16" t="s">
        <v>51</v>
      </c>
      <c r="K67" s="18" t="s">
        <v>631</v>
      </c>
    </row>
    <row r="68" spans="1:11" ht="55.5" customHeight="1">
      <c r="A68" s="13" t="s">
        <v>920</v>
      </c>
      <c r="B68" s="14" t="s">
        <v>612</v>
      </c>
      <c r="C68" s="14" t="s">
        <v>921</v>
      </c>
      <c r="D68" s="15" t="s">
        <v>43</v>
      </c>
      <c r="E68" s="13" t="s">
        <v>46</v>
      </c>
      <c r="F68" s="14" t="s">
        <v>922</v>
      </c>
      <c r="G68" s="14" t="s">
        <v>923</v>
      </c>
      <c r="H68" s="14" t="s">
        <v>857</v>
      </c>
      <c r="I68" s="14"/>
      <c r="J68" s="16" t="s">
        <v>51</v>
      </c>
      <c r="K68" s="14"/>
    </row>
    <row r="69" spans="1:11" ht="42" customHeight="1">
      <c r="A69" s="17" t="s">
        <v>924</v>
      </c>
      <c r="B69" s="18" t="s">
        <v>612</v>
      </c>
      <c r="C69" s="18" t="s">
        <v>925</v>
      </c>
      <c r="D69" s="19" t="s">
        <v>44</v>
      </c>
      <c r="E69" s="17" t="s">
        <v>46</v>
      </c>
      <c r="F69" s="18" t="s">
        <v>926</v>
      </c>
      <c r="G69" s="18" t="s">
        <v>927</v>
      </c>
      <c r="H69" s="18" t="s">
        <v>928</v>
      </c>
      <c r="I69" s="18"/>
      <c r="J69" s="16" t="s">
        <v>51</v>
      </c>
      <c r="K69" s="18"/>
    </row>
    <row r="70" spans="1:11" ht="42" customHeight="1">
      <c r="A70" s="17" t="s">
        <v>929</v>
      </c>
      <c r="B70" s="18" t="s">
        <v>612</v>
      </c>
      <c r="C70" s="18" t="s">
        <v>930</v>
      </c>
      <c r="D70" s="19" t="s">
        <v>44</v>
      </c>
      <c r="E70" s="17" t="s">
        <v>46</v>
      </c>
      <c r="F70" s="18" t="s">
        <v>931</v>
      </c>
      <c r="G70" s="18" t="s">
        <v>932</v>
      </c>
      <c r="H70" s="18" t="s">
        <v>867</v>
      </c>
      <c r="I70" s="18"/>
      <c r="J70" s="16" t="s">
        <v>51</v>
      </c>
      <c r="K70" s="18" t="s">
        <v>631</v>
      </c>
    </row>
    <row r="71" spans="1:11" ht="69.75" customHeight="1">
      <c r="A71" s="17" t="s">
        <v>933</v>
      </c>
      <c r="B71" s="18" t="s">
        <v>612</v>
      </c>
      <c r="C71" s="18" t="s">
        <v>934</v>
      </c>
      <c r="D71" s="19" t="s">
        <v>44</v>
      </c>
      <c r="E71" s="17" t="s">
        <v>47</v>
      </c>
      <c r="F71" s="18" t="s">
        <v>935</v>
      </c>
      <c r="G71" s="18" t="s">
        <v>936</v>
      </c>
      <c r="H71" s="18" t="s">
        <v>872</v>
      </c>
      <c r="I71" s="18"/>
      <c r="J71" s="16" t="s">
        <v>51</v>
      </c>
      <c r="K71" s="18" t="s">
        <v>631</v>
      </c>
    </row>
    <row r="72" spans="1:11" ht="69.75" customHeight="1">
      <c r="A72" s="17" t="s">
        <v>937</v>
      </c>
      <c r="B72" s="18" t="s">
        <v>612</v>
      </c>
      <c r="C72" s="18" t="s">
        <v>938</v>
      </c>
      <c r="D72" s="19" t="s">
        <v>44</v>
      </c>
      <c r="E72" s="17" t="s">
        <v>47</v>
      </c>
      <c r="F72" s="18" t="s">
        <v>939</v>
      </c>
      <c r="G72" s="18" t="s">
        <v>940</v>
      </c>
      <c r="H72" s="18" t="s">
        <v>877</v>
      </c>
      <c r="I72" s="18"/>
      <c r="J72" s="16" t="s">
        <v>51</v>
      </c>
      <c r="K72" s="18" t="s">
        <v>631</v>
      </c>
    </row>
    <row r="73" spans="1:11" ht="55.5" customHeight="1">
      <c r="A73" s="13" t="s">
        <v>941</v>
      </c>
      <c r="B73" s="14" t="s">
        <v>612</v>
      </c>
      <c r="C73" s="14" t="s">
        <v>942</v>
      </c>
      <c r="D73" s="15" t="s">
        <v>43</v>
      </c>
      <c r="E73" s="13" t="s">
        <v>46</v>
      </c>
      <c r="F73" s="14" t="s">
        <v>943</v>
      </c>
      <c r="G73" s="14" t="s">
        <v>944</v>
      </c>
      <c r="H73" s="14" t="s">
        <v>857</v>
      </c>
      <c r="I73" s="14"/>
      <c r="J73" s="16" t="s">
        <v>51</v>
      </c>
      <c r="K73" s="14"/>
    </row>
    <row r="74" spans="1:11" ht="42" customHeight="1">
      <c r="A74" s="17" t="s">
        <v>945</v>
      </c>
      <c r="B74" s="18" t="s">
        <v>612</v>
      </c>
      <c r="C74" s="18" t="s">
        <v>946</v>
      </c>
      <c r="D74" s="19" t="s">
        <v>44</v>
      </c>
      <c r="E74" s="17" t="s">
        <v>46</v>
      </c>
      <c r="F74" s="18" t="s">
        <v>947</v>
      </c>
      <c r="G74" s="18" t="s">
        <v>948</v>
      </c>
      <c r="H74" s="18" t="s">
        <v>949</v>
      </c>
      <c r="I74" s="18"/>
      <c r="J74" s="16" t="s">
        <v>51</v>
      </c>
      <c r="K74" s="18"/>
    </row>
    <row r="75" spans="1:11" ht="42" customHeight="1">
      <c r="A75" s="17" t="s">
        <v>950</v>
      </c>
      <c r="B75" s="18" t="s">
        <v>612</v>
      </c>
      <c r="C75" s="18" t="s">
        <v>951</v>
      </c>
      <c r="D75" s="19" t="s">
        <v>44</v>
      </c>
      <c r="E75" s="17" t="s">
        <v>46</v>
      </c>
      <c r="F75" s="18" t="s">
        <v>952</v>
      </c>
      <c r="G75" s="18" t="s">
        <v>953</v>
      </c>
      <c r="H75" s="18" t="s">
        <v>867</v>
      </c>
      <c r="I75" s="18"/>
      <c r="J75" s="16" t="s">
        <v>51</v>
      </c>
      <c r="K75" s="18" t="s">
        <v>631</v>
      </c>
    </row>
    <row r="76" spans="1:11" ht="69.75" customHeight="1">
      <c r="A76" s="17" t="s">
        <v>954</v>
      </c>
      <c r="B76" s="18" t="s">
        <v>612</v>
      </c>
      <c r="C76" s="18" t="s">
        <v>955</v>
      </c>
      <c r="D76" s="19" t="s">
        <v>44</v>
      </c>
      <c r="E76" s="17" t="s">
        <v>47</v>
      </c>
      <c r="F76" s="18" t="s">
        <v>956</v>
      </c>
      <c r="G76" s="18" t="s">
        <v>957</v>
      </c>
      <c r="H76" s="18" t="s">
        <v>872</v>
      </c>
      <c r="I76" s="18"/>
      <c r="J76" s="16" t="s">
        <v>51</v>
      </c>
      <c r="K76" s="18" t="s">
        <v>631</v>
      </c>
    </row>
    <row r="77" spans="1:11" ht="84" customHeight="1">
      <c r="A77" s="17" t="s">
        <v>958</v>
      </c>
      <c r="B77" s="18" t="s">
        <v>612</v>
      </c>
      <c r="C77" s="18" t="s">
        <v>959</v>
      </c>
      <c r="D77" s="19" t="s">
        <v>44</v>
      </c>
      <c r="E77" s="17" t="s">
        <v>47</v>
      </c>
      <c r="F77" s="18" t="s">
        <v>960</v>
      </c>
      <c r="G77" s="18" t="s">
        <v>961</v>
      </c>
      <c r="H77" s="18" t="s">
        <v>877</v>
      </c>
      <c r="I77" s="18"/>
      <c r="J77" s="16" t="s">
        <v>51</v>
      </c>
      <c r="K77" s="18" t="s">
        <v>631</v>
      </c>
    </row>
    <row r="78" spans="1:11" ht="69.75" customHeight="1">
      <c r="A78" s="13" t="s">
        <v>962</v>
      </c>
      <c r="B78" s="14" t="s">
        <v>612</v>
      </c>
      <c r="C78" s="14" t="s">
        <v>963</v>
      </c>
      <c r="D78" s="15" t="s">
        <v>43</v>
      </c>
      <c r="E78" s="13" t="s">
        <v>45</v>
      </c>
      <c r="F78" s="14" t="s">
        <v>964</v>
      </c>
      <c r="G78" s="14" t="s">
        <v>965</v>
      </c>
      <c r="H78" s="14" t="s">
        <v>966</v>
      </c>
      <c r="I78" s="14"/>
      <c r="J78" s="16" t="s">
        <v>51</v>
      </c>
      <c r="K78" s="14"/>
    </row>
    <row r="79" spans="1:11" ht="27.75" customHeight="1">
      <c r="A79" s="17" t="s">
        <v>967</v>
      </c>
      <c r="B79" s="18" t="s">
        <v>612</v>
      </c>
      <c r="C79" s="18" t="s">
        <v>968</v>
      </c>
      <c r="D79" s="19" t="s">
        <v>44</v>
      </c>
      <c r="E79" s="17" t="s">
        <v>45</v>
      </c>
      <c r="F79" s="18" t="s">
        <v>969</v>
      </c>
      <c r="G79" s="18" t="s">
        <v>970</v>
      </c>
      <c r="H79" s="18" t="s">
        <v>971</v>
      </c>
      <c r="I79" s="18"/>
      <c r="J79" s="16" t="s">
        <v>51</v>
      </c>
      <c r="K79" s="18"/>
    </row>
    <row r="80" spans="1:11" ht="55.5" customHeight="1">
      <c r="A80" s="17" t="s">
        <v>972</v>
      </c>
      <c r="B80" s="18" t="s">
        <v>612</v>
      </c>
      <c r="C80" s="18" t="s">
        <v>973</v>
      </c>
      <c r="D80" s="19" t="s">
        <v>44</v>
      </c>
      <c r="E80" s="17" t="s">
        <v>45</v>
      </c>
      <c r="F80" s="18" t="s">
        <v>974</v>
      </c>
      <c r="G80" s="18" t="s">
        <v>975</v>
      </c>
      <c r="H80" s="18" t="s">
        <v>976</v>
      </c>
      <c r="I80" s="18"/>
      <c r="J80" s="16" t="s">
        <v>51</v>
      </c>
      <c r="K80" s="18"/>
    </row>
    <row r="81" spans="1:11" ht="42" customHeight="1">
      <c r="A81" s="17" t="s">
        <v>977</v>
      </c>
      <c r="B81" s="18" t="s">
        <v>612</v>
      </c>
      <c r="C81" s="18" t="s">
        <v>978</v>
      </c>
      <c r="D81" s="19" t="s">
        <v>44</v>
      </c>
      <c r="E81" s="17" t="s">
        <v>46</v>
      </c>
      <c r="F81" s="18" t="s">
        <v>979</v>
      </c>
      <c r="G81" s="18" t="s">
        <v>980</v>
      </c>
      <c r="H81" s="18" t="s">
        <v>981</v>
      </c>
      <c r="I81" s="18"/>
      <c r="J81" s="16" t="s">
        <v>51</v>
      </c>
      <c r="K81" s="18"/>
    </row>
    <row r="82" spans="1:11" ht="27.75" customHeight="1">
      <c r="A82" s="17" t="s">
        <v>982</v>
      </c>
      <c r="B82" s="18" t="s">
        <v>612</v>
      </c>
      <c r="C82" s="18" t="s">
        <v>983</v>
      </c>
      <c r="D82" s="19" t="s">
        <v>44</v>
      </c>
      <c r="E82" s="17" t="s">
        <v>46</v>
      </c>
      <c r="F82" s="18" t="s">
        <v>984</v>
      </c>
      <c r="G82" s="18" t="s">
        <v>985</v>
      </c>
      <c r="H82" s="18" t="s">
        <v>986</v>
      </c>
      <c r="I82" s="18"/>
      <c r="J82" s="16" t="s">
        <v>51</v>
      </c>
      <c r="K82" s="18"/>
    </row>
    <row r="83" spans="1:11" ht="42" customHeight="1">
      <c r="A83" s="17" t="s">
        <v>987</v>
      </c>
      <c r="B83" s="18" t="s">
        <v>612</v>
      </c>
      <c r="C83" s="18" t="s">
        <v>988</v>
      </c>
      <c r="D83" s="19" t="s">
        <v>44</v>
      </c>
      <c r="E83" s="17" t="s">
        <v>46</v>
      </c>
      <c r="F83" s="18" t="s">
        <v>989</v>
      </c>
      <c r="G83" s="18" t="s">
        <v>990</v>
      </c>
      <c r="H83" s="18" t="s">
        <v>991</v>
      </c>
      <c r="I83" s="18"/>
      <c r="J83" s="16" t="s">
        <v>51</v>
      </c>
      <c r="K83" s="18"/>
    </row>
    <row r="84" spans="1:11" ht="84" customHeight="1">
      <c r="A84" s="13" t="s">
        <v>992</v>
      </c>
      <c r="B84" s="14" t="s">
        <v>993</v>
      </c>
      <c r="C84" s="14" t="s">
        <v>994</v>
      </c>
      <c r="D84" s="15" t="s">
        <v>43</v>
      </c>
      <c r="E84" s="13" t="s">
        <v>45</v>
      </c>
      <c r="F84" s="14" t="s">
        <v>995</v>
      </c>
      <c r="G84" s="14" t="s">
        <v>996</v>
      </c>
      <c r="H84" s="14" t="s">
        <v>966</v>
      </c>
      <c r="I84" s="14"/>
      <c r="J84" s="16" t="s">
        <v>51</v>
      </c>
      <c r="K84" s="14"/>
    </row>
    <row r="85" spans="1:11" ht="27.75" customHeight="1">
      <c r="A85" s="17" t="s">
        <v>997</v>
      </c>
      <c r="B85" s="18" t="s">
        <v>993</v>
      </c>
      <c r="C85" s="18" t="s">
        <v>998</v>
      </c>
      <c r="D85" s="19" t="s">
        <v>44</v>
      </c>
      <c r="E85" s="17" t="s">
        <v>45</v>
      </c>
      <c r="F85" s="18" t="s">
        <v>999</v>
      </c>
      <c r="G85" s="18" t="s">
        <v>1000</v>
      </c>
      <c r="H85" s="18" t="s">
        <v>1001</v>
      </c>
      <c r="I85" s="18"/>
      <c r="J85" s="16" t="s">
        <v>51</v>
      </c>
      <c r="K85" s="18"/>
    </row>
    <row r="86" spans="1:11" ht="55.5" customHeight="1">
      <c r="A86" s="17" t="s">
        <v>1002</v>
      </c>
      <c r="B86" s="18" t="s">
        <v>993</v>
      </c>
      <c r="C86" s="18" t="s">
        <v>1003</v>
      </c>
      <c r="D86" s="19" t="s">
        <v>44</v>
      </c>
      <c r="E86" s="17" t="s">
        <v>45</v>
      </c>
      <c r="F86" s="18" t="s">
        <v>1004</v>
      </c>
      <c r="G86" s="18" t="s">
        <v>1005</v>
      </c>
      <c r="H86" s="18" t="s">
        <v>976</v>
      </c>
      <c r="I86" s="18"/>
      <c r="J86" s="16" t="s">
        <v>51</v>
      </c>
      <c r="K86" s="18"/>
    </row>
    <row r="87" spans="1:11" ht="55.5" customHeight="1">
      <c r="A87" s="17" t="s">
        <v>1006</v>
      </c>
      <c r="B87" s="18" t="s">
        <v>993</v>
      </c>
      <c r="C87" s="18" t="s">
        <v>1007</v>
      </c>
      <c r="D87" s="19" t="s">
        <v>44</v>
      </c>
      <c r="E87" s="17" t="s">
        <v>46</v>
      </c>
      <c r="F87" s="18" t="s">
        <v>1008</v>
      </c>
      <c r="G87" s="18" t="s">
        <v>980</v>
      </c>
      <c r="H87" s="18" t="s">
        <v>1009</v>
      </c>
      <c r="I87" s="18"/>
      <c r="J87" s="16" t="s">
        <v>51</v>
      </c>
      <c r="K87" s="18"/>
    </row>
    <row r="88" spans="1:11" ht="42" customHeight="1">
      <c r="A88" s="17" t="s">
        <v>1010</v>
      </c>
      <c r="B88" s="18" t="s">
        <v>993</v>
      </c>
      <c r="C88" s="18" t="s">
        <v>1011</v>
      </c>
      <c r="D88" s="19" t="s">
        <v>44</v>
      </c>
      <c r="E88" s="17" t="s">
        <v>46</v>
      </c>
      <c r="F88" s="18" t="s">
        <v>1012</v>
      </c>
      <c r="G88" s="18" t="s">
        <v>1013</v>
      </c>
      <c r="H88" s="18" t="s">
        <v>986</v>
      </c>
      <c r="I88" s="18"/>
      <c r="J88" s="16" t="s">
        <v>51</v>
      </c>
      <c r="K88" s="18"/>
    </row>
    <row r="89" spans="1:11" ht="42" customHeight="1">
      <c r="A89" s="17" t="s">
        <v>1014</v>
      </c>
      <c r="B89" s="18" t="s">
        <v>993</v>
      </c>
      <c r="C89" s="18" t="s">
        <v>1015</v>
      </c>
      <c r="D89" s="19" t="s">
        <v>44</v>
      </c>
      <c r="E89" s="17" t="s">
        <v>46</v>
      </c>
      <c r="F89" s="18" t="s">
        <v>1016</v>
      </c>
      <c r="G89" s="18" t="s">
        <v>1017</v>
      </c>
      <c r="H89" s="18" t="s">
        <v>991</v>
      </c>
      <c r="I89" s="18"/>
      <c r="J89" s="16" t="s">
        <v>51</v>
      </c>
      <c r="K89" s="18"/>
    </row>
    <row r="90" spans="1:11" ht="42" customHeight="1">
      <c r="A90" s="13" t="s">
        <v>1018</v>
      </c>
      <c r="B90" s="14" t="s">
        <v>993</v>
      </c>
      <c r="C90" s="14" t="s">
        <v>1019</v>
      </c>
      <c r="D90" s="15" t="s">
        <v>43</v>
      </c>
      <c r="E90" s="13" t="s">
        <v>45</v>
      </c>
      <c r="F90" s="14" t="s">
        <v>1020</v>
      </c>
      <c r="G90" s="14" t="s">
        <v>1021</v>
      </c>
      <c r="H90" s="14" t="s">
        <v>1022</v>
      </c>
      <c r="I90" s="14"/>
      <c r="J90" s="16" t="s">
        <v>51</v>
      </c>
      <c r="K90" s="14"/>
    </row>
    <row r="91" spans="1:11" ht="69.75" customHeight="1">
      <c r="A91" s="17" t="s">
        <v>1023</v>
      </c>
      <c r="B91" s="18" t="s">
        <v>993</v>
      </c>
      <c r="C91" s="18" t="s">
        <v>1024</v>
      </c>
      <c r="D91" s="19" t="s">
        <v>44</v>
      </c>
      <c r="E91" s="17" t="s">
        <v>45</v>
      </c>
      <c r="F91" s="18" t="s">
        <v>1025</v>
      </c>
      <c r="G91" s="18" t="s">
        <v>1026</v>
      </c>
      <c r="H91" s="18" t="s">
        <v>1027</v>
      </c>
      <c r="I91" s="18"/>
      <c r="J91" s="16" t="s">
        <v>51</v>
      </c>
      <c r="K91" s="18" t="s">
        <v>1028</v>
      </c>
    </row>
    <row r="92" spans="1:11" ht="42" customHeight="1">
      <c r="A92" s="17" t="s">
        <v>1029</v>
      </c>
      <c r="B92" s="18" t="s">
        <v>993</v>
      </c>
      <c r="C92" s="18" t="s">
        <v>1030</v>
      </c>
      <c r="D92" s="19" t="s">
        <v>44</v>
      </c>
      <c r="E92" s="17" t="s">
        <v>45</v>
      </c>
      <c r="F92" s="18" t="s">
        <v>1031</v>
      </c>
      <c r="G92" s="18" t="s">
        <v>1032</v>
      </c>
      <c r="H92" s="18" t="s">
        <v>1033</v>
      </c>
      <c r="I92" s="18"/>
      <c r="J92" s="16" t="s">
        <v>51</v>
      </c>
      <c r="K92" s="18"/>
    </row>
    <row r="93" spans="1:11" ht="84" customHeight="1">
      <c r="A93" s="13" t="s">
        <v>1034</v>
      </c>
      <c r="B93" s="14" t="s">
        <v>1035</v>
      </c>
      <c r="C93" s="14" t="s">
        <v>1036</v>
      </c>
      <c r="D93" s="15" t="s">
        <v>43</v>
      </c>
      <c r="E93" s="13" t="s">
        <v>45</v>
      </c>
      <c r="F93" s="14" t="s">
        <v>1037</v>
      </c>
      <c r="G93" s="14" t="s">
        <v>1038</v>
      </c>
      <c r="H93" s="14" t="s">
        <v>966</v>
      </c>
      <c r="I93" s="14"/>
      <c r="J93" s="16" t="s">
        <v>51</v>
      </c>
      <c r="K93" s="14" t="s">
        <v>631</v>
      </c>
    </row>
    <row r="94" spans="1:11" ht="42" customHeight="1">
      <c r="A94" s="17" t="s">
        <v>1039</v>
      </c>
      <c r="B94" s="18" t="s">
        <v>1035</v>
      </c>
      <c r="C94" s="18" t="s">
        <v>1040</v>
      </c>
      <c r="D94" s="19" t="s">
        <v>44</v>
      </c>
      <c r="E94" s="17" t="s">
        <v>45</v>
      </c>
      <c r="F94" s="18" t="s">
        <v>1041</v>
      </c>
      <c r="G94" s="18" t="s">
        <v>1042</v>
      </c>
      <c r="H94" s="18" t="s">
        <v>1043</v>
      </c>
      <c r="I94" s="18"/>
      <c r="J94" s="16" t="s">
        <v>51</v>
      </c>
      <c r="K94" s="18"/>
    </row>
    <row r="95" spans="1:11" ht="55.5" customHeight="1">
      <c r="A95" s="17" t="s">
        <v>1044</v>
      </c>
      <c r="B95" s="18" t="s">
        <v>1035</v>
      </c>
      <c r="C95" s="18" t="s">
        <v>1045</v>
      </c>
      <c r="D95" s="19" t="s">
        <v>44</v>
      </c>
      <c r="E95" s="17" t="s">
        <v>45</v>
      </c>
      <c r="F95" s="18" t="s">
        <v>1046</v>
      </c>
      <c r="G95" s="18" t="s">
        <v>1005</v>
      </c>
      <c r="H95" s="18" t="s">
        <v>976</v>
      </c>
      <c r="I95" s="18"/>
      <c r="J95" s="16" t="s">
        <v>51</v>
      </c>
      <c r="K95" s="18"/>
    </row>
    <row r="96" spans="1:11" ht="55.5" customHeight="1">
      <c r="A96" s="17" t="s">
        <v>1047</v>
      </c>
      <c r="B96" s="18" t="s">
        <v>1035</v>
      </c>
      <c r="C96" s="18" t="s">
        <v>1048</v>
      </c>
      <c r="D96" s="19" t="s">
        <v>44</v>
      </c>
      <c r="E96" s="17" t="s">
        <v>46</v>
      </c>
      <c r="F96" s="18" t="s">
        <v>1049</v>
      </c>
      <c r="G96" s="18" t="s">
        <v>980</v>
      </c>
      <c r="H96" s="18" t="s">
        <v>1009</v>
      </c>
      <c r="I96" s="18"/>
      <c r="J96" s="16" t="s">
        <v>51</v>
      </c>
      <c r="K96" s="18"/>
    </row>
    <row r="97" spans="1:11" ht="42" customHeight="1">
      <c r="A97" s="17" t="s">
        <v>1050</v>
      </c>
      <c r="B97" s="18" t="s">
        <v>1035</v>
      </c>
      <c r="C97" s="18" t="s">
        <v>1051</v>
      </c>
      <c r="D97" s="19" t="s">
        <v>44</v>
      </c>
      <c r="E97" s="17" t="s">
        <v>46</v>
      </c>
      <c r="F97" s="18" t="s">
        <v>1052</v>
      </c>
      <c r="G97" s="18" t="s">
        <v>1053</v>
      </c>
      <c r="H97" s="18" t="s">
        <v>986</v>
      </c>
      <c r="I97" s="18"/>
      <c r="J97" s="16" t="s">
        <v>51</v>
      </c>
      <c r="K97" s="18"/>
    </row>
    <row r="98" spans="1:11" ht="55.5" customHeight="1">
      <c r="A98" s="17" t="s">
        <v>1054</v>
      </c>
      <c r="B98" s="18" t="s">
        <v>1035</v>
      </c>
      <c r="C98" s="18" t="s">
        <v>1055</v>
      </c>
      <c r="D98" s="19" t="s">
        <v>44</v>
      </c>
      <c r="E98" s="17" t="s">
        <v>46</v>
      </c>
      <c r="F98" s="18" t="s">
        <v>1056</v>
      </c>
      <c r="G98" s="18" t="s">
        <v>1057</v>
      </c>
      <c r="H98" s="18" t="s">
        <v>991</v>
      </c>
      <c r="I98" s="18"/>
      <c r="J98" s="16" t="s">
        <v>51</v>
      </c>
      <c r="K98" s="18"/>
    </row>
    <row r="99" spans="1:11" ht="55.5" customHeight="1">
      <c r="A99" s="13" t="s">
        <v>1058</v>
      </c>
      <c r="B99" s="14" t="s">
        <v>1059</v>
      </c>
      <c r="C99" s="14" t="s">
        <v>1060</v>
      </c>
      <c r="D99" s="15" t="s">
        <v>43</v>
      </c>
      <c r="E99" s="13" t="s">
        <v>46</v>
      </c>
      <c r="F99" s="14" t="s">
        <v>1061</v>
      </c>
      <c r="G99" s="14" t="s">
        <v>1062</v>
      </c>
      <c r="H99" s="14" t="s">
        <v>1063</v>
      </c>
      <c r="I99" s="14"/>
      <c r="J99" s="16" t="s">
        <v>51</v>
      </c>
      <c r="K99" s="14"/>
    </row>
    <row r="100" spans="1:11" ht="42" customHeight="1">
      <c r="A100" s="17" t="s">
        <v>1064</v>
      </c>
      <c r="B100" s="18" t="s">
        <v>1059</v>
      </c>
      <c r="C100" s="18" t="s">
        <v>1065</v>
      </c>
      <c r="D100" s="19" t="s">
        <v>44</v>
      </c>
      <c r="E100" s="17" t="s">
        <v>46</v>
      </c>
      <c r="F100" s="18" t="s">
        <v>1066</v>
      </c>
      <c r="G100" s="18" t="s">
        <v>1067</v>
      </c>
      <c r="H100" s="18" t="s">
        <v>1068</v>
      </c>
      <c r="I100" s="18"/>
      <c r="J100" s="16" t="s">
        <v>51</v>
      </c>
      <c r="K100" s="18"/>
    </row>
    <row r="101" spans="1:11" ht="42" customHeight="1">
      <c r="A101" s="17" t="s">
        <v>1069</v>
      </c>
      <c r="B101" s="18" t="s">
        <v>1059</v>
      </c>
      <c r="C101" s="18" t="s">
        <v>1070</v>
      </c>
      <c r="D101" s="19" t="s">
        <v>44</v>
      </c>
      <c r="E101" s="17" t="s">
        <v>46</v>
      </c>
      <c r="F101" s="18" t="s">
        <v>1071</v>
      </c>
      <c r="G101" s="18" t="s">
        <v>1072</v>
      </c>
      <c r="H101" s="18" t="s">
        <v>156</v>
      </c>
      <c r="I101" s="18"/>
      <c r="J101" s="16" t="s">
        <v>51</v>
      </c>
      <c r="K101" s="18"/>
    </row>
    <row r="102" spans="1:11" ht="42" customHeight="1">
      <c r="A102" s="17" t="s">
        <v>1073</v>
      </c>
      <c r="B102" s="18" t="s">
        <v>1059</v>
      </c>
      <c r="C102" s="18" t="s">
        <v>1074</v>
      </c>
      <c r="D102" s="19" t="s">
        <v>44</v>
      </c>
      <c r="E102" s="17" t="s">
        <v>47</v>
      </c>
      <c r="F102" s="18" t="s">
        <v>1075</v>
      </c>
      <c r="G102" s="18" t="s">
        <v>1076</v>
      </c>
      <c r="H102" s="18" t="s">
        <v>630</v>
      </c>
      <c r="I102" s="18"/>
      <c r="J102" s="16" t="s">
        <v>51</v>
      </c>
      <c r="K102" s="18" t="s">
        <v>631</v>
      </c>
    </row>
    <row r="103" spans="1:11" ht="55.5" customHeight="1">
      <c r="A103" s="13" t="s">
        <v>1077</v>
      </c>
      <c r="B103" s="14" t="s">
        <v>1059</v>
      </c>
      <c r="C103" s="14" t="s">
        <v>1078</v>
      </c>
      <c r="D103" s="15" t="s">
        <v>43</v>
      </c>
      <c r="E103" s="13" t="s">
        <v>46</v>
      </c>
      <c r="F103" s="14" t="s">
        <v>1079</v>
      </c>
      <c r="G103" s="14" t="s">
        <v>1080</v>
      </c>
      <c r="H103" s="14" t="s">
        <v>758</v>
      </c>
      <c r="I103" s="14"/>
      <c r="J103" s="16" t="s">
        <v>51</v>
      </c>
      <c r="K103" s="14"/>
    </row>
    <row r="104" spans="1:11" ht="27.75" customHeight="1">
      <c r="A104" s="17" t="s">
        <v>1081</v>
      </c>
      <c r="B104" s="18" t="s">
        <v>1059</v>
      </c>
      <c r="C104" s="18" t="s">
        <v>1082</v>
      </c>
      <c r="D104" s="19" t="s">
        <v>44</v>
      </c>
      <c r="E104" s="17" t="s">
        <v>46</v>
      </c>
      <c r="F104" s="18" t="s">
        <v>1083</v>
      </c>
      <c r="G104" s="18" t="s">
        <v>1084</v>
      </c>
      <c r="H104" s="18" t="s">
        <v>1085</v>
      </c>
      <c r="I104" s="18"/>
      <c r="J104" s="16" t="s">
        <v>51</v>
      </c>
      <c r="K104" s="18"/>
    </row>
    <row r="105" spans="1:11" ht="42" customHeight="1">
      <c r="A105" s="17" t="s">
        <v>1086</v>
      </c>
      <c r="B105" s="18" t="s">
        <v>1059</v>
      </c>
      <c r="C105" s="18" t="s">
        <v>1087</v>
      </c>
      <c r="D105" s="19" t="s">
        <v>44</v>
      </c>
      <c r="E105" s="17" t="s">
        <v>46</v>
      </c>
      <c r="F105" s="18" t="s">
        <v>1088</v>
      </c>
      <c r="G105" s="18" t="s">
        <v>1089</v>
      </c>
      <c r="H105" s="18" t="s">
        <v>1090</v>
      </c>
      <c r="I105" s="18"/>
      <c r="J105" s="16" t="s">
        <v>51</v>
      </c>
      <c r="K105" s="18" t="s">
        <v>631</v>
      </c>
    </row>
    <row r="106" spans="1:11" ht="55.5" customHeight="1">
      <c r="A106" s="17" t="s">
        <v>1091</v>
      </c>
      <c r="B106" s="18" t="s">
        <v>1059</v>
      </c>
      <c r="C106" s="18" t="s">
        <v>1092</v>
      </c>
      <c r="D106" s="19" t="s">
        <v>44</v>
      </c>
      <c r="E106" s="17" t="s">
        <v>47</v>
      </c>
      <c r="F106" s="18" t="s">
        <v>1093</v>
      </c>
      <c r="G106" s="18" t="s">
        <v>1094</v>
      </c>
      <c r="H106" s="18" t="s">
        <v>1095</v>
      </c>
      <c r="I106" s="18"/>
      <c r="J106" s="16" t="s">
        <v>51</v>
      </c>
      <c r="K106" s="18" t="s">
        <v>631</v>
      </c>
    </row>
    <row r="107" spans="1:11" ht="42" customHeight="1">
      <c r="A107" s="13" t="s">
        <v>1096</v>
      </c>
      <c r="B107" s="14" t="s">
        <v>1059</v>
      </c>
      <c r="C107" s="14" t="s">
        <v>1097</v>
      </c>
      <c r="D107" s="15" t="s">
        <v>43</v>
      </c>
      <c r="E107" s="13" t="s">
        <v>46</v>
      </c>
      <c r="F107" s="14" t="s">
        <v>1098</v>
      </c>
      <c r="G107" s="14" t="s">
        <v>1099</v>
      </c>
      <c r="H107" s="14" t="s">
        <v>743</v>
      </c>
      <c r="I107" s="14"/>
      <c r="J107" s="16" t="s">
        <v>51</v>
      </c>
      <c r="K107" s="14"/>
    </row>
    <row r="108" spans="1:11" ht="42" customHeight="1">
      <c r="A108" s="17" t="s">
        <v>1100</v>
      </c>
      <c r="B108" s="18" t="s">
        <v>1059</v>
      </c>
      <c r="C108" s="18" t="s">
        <v>1101</v>
      </c>
      <c r="D108" s="19" t="s">
        <v>44</v>
      </c>
      <c r="E108" s="17" t="s">
        <v>46</v>
      </c>
      <c r="F108" s="18" t="s">
        <v>1102</v>
      </c>
      <c r="G108" s="18" t="s">
        <v>1103</v>
      </c>
      <c r="H108" s="18" t="s">
        <v>1104</v>
      </c>
      <c r="I108" s="18"/>
      <c r="J108" s="16" t="s">
        <v>51</v>
      </c>
      <c r="K108" s="18"/>
    </row>
    <row r="109" spans="1:11" ht="42" customHeight="1">
      <c r="A109" s="13" t="s">
        <v>1105</v>
      </c>
      <c r="B109" s="14" t="s">
        <v>1059</v>
      </c>
      <c r="C109" s="14" t="s">
        <v>1106</v>
      </c>
      <c r="D109" s="15" t="s">
        <v>43</v>
      </c>
      <c r="E109" s="13" t="s">
        <v>47</v>
      </c>
      <c r="F109" s="14" t="s">
        <v>1107</v>
      </c>
      <c r="G109" s="14" t="s">
        <v>1108</v>
      </c>
      <c r="H109" s="14" t="s">
        <v>753</v>
      </c>
      <c r="I109" s="14"/>
      <c r="J109" s="16" t="s">
        <v>51</v>
      </c>
      <c r="K109" s="14" t="s">
        <v>631</v>
      </c>
    </row>
    <row r="110" spans="1:11" ht="42" customHeight="1">
      <c r="A110" s="13" t="s">
        <v>1109</v>
      </c>
      <c r="B110" s="14" t="s">
        <v>1059</v>
      </c>
      <c r="C110" s="14" t="s">
        <v>1110</v>
      </c>
      <c r="D110" s="15" t="s">
        <v>43</v>
      </c>
      <c r="E110" s="13" t="s">
        <v>46</v>
      </c>
      <c r="F110" s="14" t="s">
        <v>1111</v>
      </c>
      <c r="G110" s="14" t="s">
        <v>1112</v>
      </c>
      <c r="H110" s="14" t="s">
        <v>743</v>
      </c>
      <c r="I110" s="14"/>
      <c r="J110" s="16" t="s">
        <v>51</v>
      </c>
      <c r="K110" s="14"/>
    </row>
    <row r="111" spans="1:11" ht="42" customHeight="1">
      <c r="A111" s="17" t="s">
        <v>1113</v>
      </c>
      <c r="B111" s="18" t="s">
        <v>1059</v>
      </c>
      <c r="C111" s="18" t="s">
        <v>1114</v>
      </c>
      <c r="D111" s="19" t="s">
        <v>44</v>
      </c>
      <c r="E111" s="17" t="s">
        <v>46</v>
      </c>
      <c r="F111" s="18" t="s">
        <v>1115</v>
      </c>
      <c r="G111" s="18" t="s">
        <v>1116</v>
      </c>
      <c r="H111" s="18" t="s">
        <v>1117</v>
      </c>
      <c r="I111" s="18"/>
      <c r="J111" s="16" t="s">
        <v>51</v>
      </c>
      <c r="K111" s="18"/>
    </row>
    <row r="112" spans="1:11" ht="42" customHeight="1">
      <c r="A112" s="13" t="s">
        <v>1118</v>
      </c>
      <c r="B112" s="14" t="s">
        <v>1059</v>
      </c>
      <c r="C112" s="14" t="s">
        <v>1119</v>
      </c>
      <c r="D112" s="15" t="s">
        <v>43</v>
      </c>
      <c r="E112" s="13" t="s">
        <v>47</v>
      </c>
      <c r="F112" s="14" t="s">
        <v>1120</v>
      </c>
      <c r="G112" s="14" t="s">
        <v>1121</v>
      </c>
      <c r="H112" s="14" t="s">
        <v>753</v>
      </c>
      <c r="I112" s="14"/>
      <c r="J112" s="16" t="s">
        <v>51</v>
      </c>
      <c r="K112" s="14" t="s">
        <v>631</v>
      </c>
    </row>
    <row r="113" spans="1:11" ht="55.5" customHeight="1">
      <c r="A113" s="13" t="s">
        <v>1122</v>
      </c>
      <c r="B113" s="14" t="s">
        <v>1059</v>
      </c>
      <c r="C113" s="14" t="s">
        <v>1123</v>
      </c>
      <c r="D113" s="15" t="s">
        <v>43</v>
      </c>
      <c r="E113" s="13" t="s">
        <v>46</v>
      </c>
      <c r="F113" s="14" t="s">
        <v>1124</v>
      </c>
      <c r="G113" s="14" t="s">
        <v>1125</v>
      </c>
      <c r="H113" s="14" t="s">
        <v>1126</v>
      </c>
      <c r="I113" s="14"/>
      <c r="J113" s="16" t="s">
        <v>51</v>
      </c>
      <c r="K113" s="14"/>
    </row>
    <row r="114" spans="1:11" ht="27.75" customHeight="1">
      <c r="A114" s="17" t="s">
        <v>1127</v>
      </c>
      <c r="B114" s="18" t="s">
        <v>1059</v>
      </c>
      <c r="C114" s="18" t="s">
        <v>1128</v>
      </c>
      <c r="D114" s="19" t="s">
        <v>44</v>
      </c>
      <c r="E114" s="17" t="s">
        <v>46</v>
      </c>
      <c r="F114" s="18" t="s">
        <v>1129</v>
      </c>
      <c r="G114" s="18" t="s">
        <v>1130</v>
      </c>
      <c r="H114" s="18" t="s">
        <v>1131</v>
      </c>
      <c r="I114" s="18"/>
      <c r="J114" s="16" t="s">
        <v>51</v>
      </c>
      <c r="K114" s="18"/>
    </row>
    <row r="115" spans="1:11" ht="42" customHeight="1">
      <c r="A115" s="17" t="s">
        <v>1132</v>
      </c>
      <c r="B115" s="18" t="s">
        <v>1059</v>
      </c>
      <c r="C115" s="18" t="s">
        <v>1133</v>
      </c>
      <c r="D115" s="19" t="s">
        <v>44</v>
      </c>
      <c r="E115" s="17" t="s">
        <v>46</v>
      </c>
      <c r="F115" s="18" t="s">
        <v>1134</v>
      </c>
      <c r="G115" s="18" t="s">
        <v>1135</v>
      </c>
      <c r="H115" s="18" t="s">
        <v>829</v>
      </c>
      <c r="I115" s="18"/>
      <c r="J115" s="16" t="s">
        <v>51</v>
      </c>
      <c r="K115" s="18" t="s">
        <v>631</v>
      </c>
    </row>
    <row r="116" spans="1:11" ht="42" customHeight="1">
      <c r="A116" s="17" t="s">
        <v>1136</v>
      </c>
      <c r="B116" s="18" t="s">
        <v>1059</v>
      </c>
      <c r="C116" s="18" t="s">
        <v>1137</v>
      </c>
      <c r="D116" s="19" t="s">
        <v>44</v>
      </c>
      <c r="E116" s="17" t="s">
        <v>46</v>
      </c>
      <c r="F116" s="18" t="s">
        <v>1138</v>
      </c>
      <c r="G116" s="18" t="s">
        <v>1139</v>
      </c>
      <c r="H116" s="18" t="s">
        <v>834</v>
      </c>
      <c r="I116" s="18"/>
      <c r="J116" s="16" t="s">
        <v>51</v>
      </c>
      <c r="K116" s="18"/>
    </row>
    <row r="117" spans="1:11" ht="42" customHeight="1">
      <c r="A117" s="13" t="s">
        <v>1140</v>
      </c>
      <c r="B117" s="14" t="s">
        <v>1059</v>
      </c>
      <c r="C117" s="14" t="s">
        <v>1141</v>
      </c>
      <c r="D117" s="15" t="s">
        <v>43</v>
      </c>
      <c r="E117" s="13" t="s">
        <v>46</v>
      </c>
      <c r="F117" s="14" t="s">
        <v>1142</v>
      </c>
      <c r="G117" s="14" t="s">
        <v>1143</v>
      </c>
      <c r="H117" s="14" t="s">
        <v>743</v>
      </c>
      <c r="I117" s="14"/>
      <c r="J117" s="16" t="s">
        <v>51</v>
      </c>
      <c r="K117" s="14"/>
    </row>
    <row r="118" spans="1:11" ht="42" customHeight="1">
      <c r="A118" s="17" t="s">
        <v>1144</v>
      </c>
      <c r="B118" s="18" t="s">
        <v>1059</v>
      </c>
      <c r="C118" s="18" t="s">
        <v>1145</v>
      </c>
      <c r="D118" s="19" t="s">
        <v>44</v>
      </c>
      <c r="E118" s="17" t="s">
        <v>46</v>
      </c>
      <c r="F118" s="18" t="s">
        <v>1146</v>
      </c>
      <c r="G118" s="18" t="s">
        <v>1147</v>
      </c>
      <c r="H118" s="18" t="s">
        <v>1148</v>
      </c>
      <c r="I118" s="18"/>
      <c r="J118" s="16" t="s">
        <v>51</v>
      </c>
      <c r="K118" s="18"/>
    </row>
    <row r="119" spans="1:11" ht="42" customHeight="1">
      <c r="A119" s="13" t="s">
        <v>1149</v>
      </c>
      <c r="B119" s="14" t="s">
        <v>1059</v>
      </c>
      <c r="C119" s="14" t="s">
        <v>1150</v>
      </c>
      <c r="D119" s="15" t="s">
        <v>43</v>
      </c>
      <c r="E119" s="13" t="s">
        <v>47</v>
      </c>
      <c r="F119" s="14" t="s">
        <v>1151</v>
      </c>
      <c r="G119" s="14" t="s">
        <v>1152</v>
      </c>
      <c r="H119" s="14" t="s">
        <v>753</v>
      </c>
      <c r="I119" s="14"/>
      <c r="J119" s="16" t="s">
        <v>51</v>
      </c>
      <c r="K119" s="14" t="s">
        <v>631</v>
      </c>
    </row>
    <row r="120" spans="1:11" ht="69.75" customHeight="1">
      <c r="A120" s="13" t="s">
        <v>1153</v>
      </c>
      <c r="B120" s="14" t="s">
        <v>1059</v>
      </c>
      <c r="C120" s="14" t="s">
        <v>1154</v>
      </c>
      <c r="D120" s="15" t="s">
        <v>43</v>
      </c>
      <c r="E120" s="13" t="s">
        <v>46</v>
      </c>
      <c r="F120" s="14" t="s">
        <v>1155</v>
      </c>
      <c r="G120" s="14" t="s">
        <v>1156</v>
      </c>
      <c r="H120" s="14" t="s">
        <v>1157</v>
      </c>
      <c r="I120" s="14"/>
      <c r="J120" s="16" t="s">
        <v>51</v>
      </c>
      <c r="K120" s="14"/>
    </row>
    <row r="121" spans="1:11" ht="27.75" customHeight="1">
      <c r="A121" s="17" t="s">
        <v>1158</v>
      </c>
      <c r="B121" s="18" t="s">
        <v>1059</v>
      </c>
      <c r="C121" s="18" t="s">
        <v>1159</v>
      </c>
      <c r="D121" s="19" t="s">
        <v>44</v>
      </c>
      <c r="E121" s="17" t="s">
        <v>46</v>
      </c>
      <c r="F121" s="18" t="s">
        <v>1160</v>
      </c>
      <c r="G121" s="18" t="s">
        <v>1161</v>
      </c>
      <c r="H121" s="18" t="s">
        <v>1162</v>
      </c>
      <c r="I121" s="18"/>
      <c r="J121" s="16" t="s">
        <v>51</v>
      </c>
      <c r="K121" s="18"/>
    </row>
    <row r="122" spans="1:11" ht="42" customHeight="1">
      <c r="A122" s="17" t="s">
        <v>1163</v>
      </c>
      <c r="B122" s="18" t="s">
        <v>1059</v>
      </c>
      <c r="C122" s="18" t="s">
        <v>1164</v>
      </c>
      <c r="D122" s="19" t="s">
        <v>44</v>
      </c>
      <c r="E122" s="17" t="s">
        <v>46</v>
      </c>
      <c r="F122" s="18" t="s">
        <v>1165</v>
      </c>
      <c r="G122" s="18" t="s">
        <v>1166</v>
      </c>
      <c r="H122" s="18" t="s">
        <v>1167</v>
      </c>
      <c r="I122" s="18"/>
      <c r="J122" s="16" t="s">
        <v>51</v>
      </c>
      <c r="K122" s="18" t="s">
        <v>631</v>
      </c>
    </row>
    <row r="123" spans="1:11" ht="42" customHeight="1">
      <c r="A123" s="17" t="s">
        <v>1168</v>
      </c>
      <c r="B123" s="18" t="s">
        <v>1059</v>
      </c>
      <c r="C123" s="18" t="s">
        <v>1169</v>
      </c>
      <c r="D123" s="19" t="s">
        <v>44</v>
      </c>
      <c r="E123" s="17" t="s">
        <v>47</v>
      </c>
      <c r="F123" s="18" t="s">
        <v>1170</v>
      </c>
      <c r="G123" s="18" t="s">
        <v>1171</v>
      </c>
      <c r="H123" s="18" t="s">
        <v>651</v>
      </c>
      <c r="I123" s="18"/>
      <c r="J123" s="16" t="s">
        <v>51</v>
      </c>
      <c r="K123" s="18" t="s">
        <v>631</v>
      </c>
    </row>
    <row r="124" spans="1:11" ht="69.75" customHeight="1">
      <c r="A124" s="13" t="s">
        <v>1172</v>
      </c>
      <c r="B124" s="14" t="s">
        <v>1059</v>
      </c>
      <c r="C124" s="14" t="s">
        <v>1173</v>
      </c>
      <c r="D124" s="15" t="s">
        <v>43</v>
      </c>
      <c r="E124" s="13" t="s">
        <v>45</v>
      </c>
      <c r="F124" s="14" t="s">
        <v>1174</v>
      </c>
      <c r="G124" s="14" t="s">
        <v>1175</v>
      </c>
      <c r="H124" s="14" t="s">
        <v>966</v>
      </c>
      <c r="I124" s="14"/>
      <c r="J124" s="16" t="s">
        <v>51</v>
      </c>
      <c r="K124" s="14"/>
    </row>
    <row r="125" spans="1:11" ht="27.75" customHeight="1">
      <c r="A125" s="17" t="s">
        <v>1176</v>
      </c>
      <c r="B125" s="18" t="s">
        <v>1059</v>
      </c>
      <c r="C125" s="18" t="s">
        <v>1177</v>
      </c>
      <c r="D125" s="19" t="s">
        <v>44</v>
      </c>
      <c r="E125" s="17" t="s">
        <v>45</v>
      </c>
      <c r="F125" s="18" t="s">
        <v>1178</v>
      </c>
      <c r="G125" s="18" t="s">
        <v>1179</v>
      </c>
      <c r="H125" s="18" t="s">
        <v>1180</v>
      </c>
      <c r="I125" s="18"/>
      <c r="J125" s="16" t="s">
        <v>51</v>
      </c>
      <c r="K125" s="18"/>
    </row>
    <row r="126" spans="1:11" ht="55.5" customHeight="1">
      <c r="A126" s="17" t="s">
        <v>1181</v>
      </c>
      <c r="B126" s="18" t="s">
        <v>1059</v>
      </c>
      <c r="C126" s="18" t="s">
        <v>1182</v>
      </c>
      <c r="D126" s="19" t="s">
        <v>44</v>
      </c>
      <c r="E126" s="17" t="s">
        <v>45</v>
      </c>
      <c r="F126" s="18" t="s">
        <v>1183</v>
      </c>
      <c r="G126" s="18" t="s">
        <v>1005</v>
      </c>
      <c r="H126" s="18" t="s">
        <v>976</v>
      </c>
      <c r="I126" s="18"/>
      <c r="J126" s="16" t="s">
        <v>51</v>
      </c>
      <c r="K126" s="18"/>
    </row>
    <row r="127" spans="1:11" ht="42" customHeight="1">
      <c r="A127" s="17" t="s">
        <v>1184</v>
      </c>
      <c r="B127" s="18" t="s">
        <v>1059</v>
      </c>
      <c r="C127" s="18" t="s">
        <v>1185</v>
      </c>
      <c r="D127" s="19" t="s">
        <v>44</v>
      </c>
      <c r="E127" s="17" t="s">
        <v>46</v>
      </c>
      <c r="F127" s="18" t="s">
        <v>1186</v>
      </c>
      <c r="G127" s="18" t="s">
        <v>980</v>
      </c>
      <c r="H127" s="18" t="s">
        <v>1187</v>
      </c>
      <c r="I127" s="18"/>
      <c r="J127" s="16" t="s">
        <v>51</v>
      </c>
      <c r="K127" s="18"/>
    </row>
    <row r="128" spans="1:11" ht="27.75" customHeight="1">
      <c r="A128" s="17" t="s">
        <v>1188</v>
      </c>
      <c r="B128" s="18" t="s">
        <v>1059</v>
      </c>
      <c r="C128" s="18" t="s">
        <v>1189</v>
      </c>
      <c r="D128" s="19" t="s">
        <v>44</v>
      </c>
      <c r="E128" s="17" t="s">
        <v>46</v>
      </c>
      <c r="F128" s="18" t="s">
        <v>1190</v>
      </c>
      <c r="G128" s="18" t="s">
        <v>1191</v>
      </c>
      <c r="H128" s="18" t="s">
        <v>986</v>
      </c>
      <c r="I128" s="18"/>
      <c r="J128" s="16" t="s">
        <v>51</v>
      </c>
      <c r="K128" s="18"/>
    </row>
    <row r="129" spans="1:11" ht="42" customHeight="1">
      <c r="A129" s="17" t="s">
        <v>1192</v>
      </c>
      <c r="B129" s="18" t="s">
        <v>1059</v>
      </c>
      <c r="C129" s="18" t="s">
        <v>1193</v>
      </c>
      <c r="D129" s="19" t="s">
        <v>44</v>
      </c>
      <c r="E129" s="17" t="s">
        <v>46</v>
      </c>
      <c r="F129" s="18" t="s">
        <v>1194</v>
      </c>
      <c r="G129" s="18" t="s">
        <v>1195</v>
      </c>
      <c r="H129" s="18" t="s">
        <v>991</v>
      </c>
      <c r="I129" s="18"/>
      <c r="J129" s="16" t="s">
        <v>51</v>
      </c>
      <c r="K129" s="18"/>
    </row>
    <row r="130" spans="1:11" ht="69.75" customHeight="1">
      <c r="A130" s="13" t="s">
        <v>1196</v>
      </c>
      <c r="B130" s="14" t="s">
        <v>1059</v>
      </c>
      <c r="C130" s="14" t="s">
        <v>1197</v>
      </c>
      <c r="D130" s="15" t="s">
        <v>43</v>
      </c>
      <c r="E130" s="13" t="s">
        <v>45</v>
      </c>
      <c r="F130" s="14" t="s">
        <v>1198</v>
      </c>
      <c r="G130" s="14" t="s">
        <v>1199</v>
      </c>
      <c r="H130" s="14" t="s">
        <v>1200</v>
      </c>
      <c r="I130" s="14"/>
      <c r="J130" s="16" t="s">
        <v>51</v>
      </c>
      <c r="K130" s="14"/>
    </row>
    <row r="131" spans="1:11" ht="55.5" customHeight="1">
      <c r="A131" s="13" t="s">
        <v>1201</v>
      </c>
      <c r="B131" s="14" t="s">
        <v>1059</v>
      </c>
      <c r="C131" s="14" t="s">
        <v>1202</v>
      </c>
      <c r="D131" s="15" t="s">
        <v>43</v>
      </c>
      <c r="E131" s="13" t="s">
        <v>46</v>
      </c>
      <c r="F131" s="14" t="s">
        <v>1203</v>
      </c>
      <c r="G131" s="14" t="s">
        <v>1204</v>
      </c>
      <c r="H131" s="14" t="s">
        <v>1205</v>
      </c>
      <c r="I131" s="14"/>
      <c r="J131" s="16" t="s">
        <v>51</v>
      </c>
      <c r="K131" s="14" t="s">
        <v>631</v>
      </c>
    </row>
    <row r="132" spans="1:11" ht="42" customHeight="1">
      <c r="A132" s="17" t="s">
        <v>1206</v>
      </c>
      <c r="B132" s="18" t="s">
        <v>1059</v>
      </c>
      <c r="C132" s="18" t="s">
        <v>1207</v>
      </c>
      <c r="D132" s="19" t="s">
        <v>44</v>
      </c>
      <c r="E132" s="17" t="s">
        <v>45</v>
      </c>
      <c r="F132" s="18" t="s">
        <v>1208</v>
      </c>
      <c r="G132" s="18" t="s">
        <v>1209</v>
      </c>
      <c r="H132" s="18" t="s">
        <v>1210</v>
      </c>
      <c r="I132" s="18"/>
      <c r="J132" s="16" t="s">
        <v>51</v>
      </c>
      <c r="K132" s="18" t="s">
        <v>631</v>
      </c>
    </row>
    <row r="133" spans="1:11" ht="42" customHeight="1">
      <c r="A133" s="13" t="s">
        <v>1211</v>
      </c>
      <c r="B133" s="14" t="s">
        <v>1059</v>
      </c>
      <c r="C133" s="14" t="s">
        <v>1212</v>
      </c>
      <c r="D133" s="15" t="s">
        <v>43</v>
      </c>
      <c r="E133" s="13" t="s">
        <v>46</v>
      </c>
      <c r="F133" s="14" t="s">
        <v>1213</v>
      </c>
      <c r="G133" s="14" t="s">
        <v>1214</v>
      </c>
      <c r="H133" s="14" t="s">
        <v>1215</v>
      </c>
      <c r="I133" s="14"/>
      <c r="J133" s="16" t="s">
        <v>51</v>
      </c>
      <c r="K133" s="14"/>
    </row>
    <row r="134" spans="1:11" ht="27.75" customHeight="1">
      <c r="A134" s="17" t="s">
        <v>1216</v>
      </c>
      <c r="B134" s="18" t="s">
        <v>1059</v>
      </c>
      <c r="C134" s="18" t="s">
        <v>1217</v>
      </c>
      <c r="D134" s="19" t="s">
        <v>44</v>
      </c>
      <c r="E134" s="17" t="s">
        <v>45</v>
      </c>
      <c r="F134" s="18" t="s">
        <v>1218</v>
      </c>
      <c r="G134" s="18" t="s">
        <v>1219</v>
      </c>
      <c r="H134" s="18" t="s">
        <v>1220</v>
      </c>
      <c r="I134" s="18"/>
      <c r="J134" s="16" t="s">
        <v>51</v>
      </c>
      <c r="K134" s="18"/>
    </row>
    <row r="135" spans="1:11" ht="55.5" customHeight="1">
      <c r="A135" s="13" t="s">
        <v>1221</v>
      </c>
      <c r="B135" s="14" t="s">
        <v>1222</v>
      </c>
      <c r="C135" s="14" t="s">
        <v>1223</v>
      </c>
      <c r="D135" s="15" t="s">
        <v>43</v>
      </c>
      <c r="E135" s="13" t="s">
        <v>46</v>
      </c>
      <c r="F135" s="14" t="s">
        <v>1224</v>
      </c>
      <c r="G135" s="14" t="s">
        <v>1225</v>
      </c>
      <c r="H135" s="14" t="s">
        <v>1226</v>
      </c>
      <c r="I135" s="14"/>
      <c r="J135" s="16" t="s">
        <v>51</v>
      </c>
      <c r="K135" s="14"/>
    </row>
    <row r="136" spans="1:11" ht="42" customHeight="1">
      <c r="A136" s="17" t="s">
        <v>1227</v>
      </c>
      <c r="B136" s="18" t="s">
        <v>1222</v>
      </c>
      <c r="C136" s="18" t="s">
        <v>1228</v>
      </c>
      <c r="D136" s="19" t="s">
        <v>44</v>
      </c>
      <c r="E136" s="17" t="s">
        <v>46</v>
      </c>
      <c r="F136" s="18" t="s">
        <v>1229</v>
      </c>
      <c r="G136" s="18" t="s">
        <v>1230</v>
      </c>
      <c r="H136" s="18" t="s">
        <v>1231</v>
      </c>
      <c r="I136" s="18"/>
      <c r="J136" s="16" t="s">
        <v>51</v>
      </c>
      <c r="K136" s="18"/>
    </row>
    <row r="137" spans="1:11" ht="42" customHeight="1">
      <c r="A137" s="17" t="s">
        <v>1232</v>
      </c>
      <c r="B137" s="18" t="s">
        <v>1222</v>
      </c>
      <c r="C137" s="18" t="s">
        <v>1233</v>
      </c>
      <c r="D137" s="19" t="s">
        <v>44</v>
      </c>
      <c r="E137" s="17" t="s">
        <v>46</v>
      </c>
      <c r="F137" s="18" t="s">
        <v>1234</v>
      </c>
      <c r="G137" s="18" t="s">
        <v>1235</v>
      </c>
      <c r="H137" s="18" t="s">
        <v>156</v>
      </c>
      <c r="I137" s="18"/>
      <c r="J137" s="16" t="s">
        <v>51</v>
      </c>
      <c r="K137" s="18"/>
    </row>
    <row r="138" spans="1:11" ht="42" customHeight="1">
      <c r="A138" s="17" t="s">
        <v>1236</v>
      </c>
      <c r="B138" s="18" t="s">
        <v>1222</v>
      </c>
      <c r="C138" s="18" t="s">
        <v>1237</v>
      </c>
      <c r="D138" s="19" t="s">
        <v>44</v>
      </c>
      <c r="E138" s="17" t="s">
        <v>47</v>
      </c>
      <c r="F138" s="18" t="s">
        <v>1238</v>
      </c>
      <c r="G138" s="18" t="s">
        <v>1239</v>
      </c>
      <c r="H138" s="18" t="s">
        <v>630</v>
      </c>
      <c r="I138" s="18"/>
      <c r="J138" s="16" t="s">
        <v>51</v>
      </c>
      <c r="K138" s="18" t="s">
        <v>631</v>
      </c>
    </row>
    <row r="139" spans="1:11" ht="55.5" customHeight="1">
      <c r="A139" s="13" t="s">
        <v>1240</v>
      </c>
      <c r="B139" s="14" t="s">
        <v>1222</v>
      </c>
      <c r="C139" s="14" t="s">
        <v>1241</v>
      </c>
      <c r="D139" s="15" t="s">
        <v>43</v>
      </c>
      <c r="E139" s="13" t="s">
        <v>46</v>
      </c>
      <c r="F139" s="14" t="s">
        <v>1242</v>
      </c>
      <c r="G139" s="14" t="s">
        <v>1243</v>
      </c>
      <c r="H139" s="14" t="s">
        <v>1244</v>
      </c>
      <c r="I139" s="14"/>
      <c r="J139" s="16" t="s">
        <v>51</v>
      </c>
      <c r="K139" s="14"/>
    </row>
    <row r="140" spans="1:11" ht="42" customHeight="1">
      <c r="A140" s="17" t="s">
        <v>1245</v>
      </c>
      <c r="B140" s="18" t="s">
        <v>1222</v>
      </c>
      <c r="C140" s="18" t="s">
        <v>1246</v>
      </c>
      <c r="D140" s="19" t="s">
        <v>44</v>
      </c>
      <c r="E140" s="17" t="s">
        <v>46</v>
      </c>
      <c r="F140" s="18" t="s">
        <v>1247</v>
      </c>
      <c r="G140" s="18" t="s">
        <v>1248</v>
      </c>
      <c r="H140" s="18" t="s">
        <v>1249</v>
      </c>
      <c r="I140" s="18"/>
      <c r="J140" s="16" t="s">
        <v>51</v>
      </c>
      <c r="K140" s="18"/>
    </row>
    <row r="141" spans="1:11" ht="42" customHeight="1">
      <c r="A141" s="17" t="s">
        <v>1250</v>
      </c>
      <c r="B141" s="18" t="s">
        <v>1222</v>
      </c>
      <c r="C141" s="18" t="s">
        <v>1251</v>
      </c>
      <c r="D141" s="19" t="s">
        <v>44</v>
      </c>
      <c r="E141" s="17" t="s">
        <v>46</v>
      </c>
      <c r="F141" s="18" t="s">
        <v>1252</v>
      </c>
      <c r="G141" s="18" t="s">
        <v>1253</v>
      </c>
      <c r="H141" s="18" t="s">
        <v>156</v>
      </c>
      <c r="I141" s="18"/>
      <c r="J141" s="16" t="s">
        <v>51</v>
      </c>
      <c r="K141" s="18"/>
    </row>
    <row r="142" spans="1:11" ht="42" customHeight="1">
      <c r="A142" s="17" t="s">
        <v>1254</v>
      </c>
      <c r="B142" s="18" t="s">
        <v>1222</v>
      </c>
      <c r="C142" s="18" t="s">
        <v>1255</v>
      </c>
      <c r="D142" s="19" t="s">
        <v>44</v>
      </c>
      <c r="E142" s="17" t="s">
        <v>47</v>
      </c>
      <c r="F142" s="18" t="s">
        <v>1256</v>
      </c>
      <c r="G142" s="18" t="s">
        <v>1257</v>
      </c>
      <c r="H142" s="18" t="s">
        <v>630</v>
      </c>
      <c r="I142" s="18"/>
      <c r="J142" s="16" t="s">
        <v>51</v>
      </c>
      <c r="K142" s="18" t="s">
        <v>631</v>
      </c>
    </row>
    <row r="143" spans="1:11" ht="42" customHeight="1">
      <c r="A143" s="13" t="s">
        <v>1258</v>
      </c>
      <c r="B143" s="14" t="s">
        <v>1222</v>
      </c>
      <c r="C143" s="14" t="s">
        <v>1259</v>
      </c>
      <c r="D143" s="15" t="s">
        <v>43</v>
      </c>
      <c r="E143" s="13" t="s">
        <v>46</v>
      </c>
      <c r="F143" s="14" t="s">
        <v>1260</v>
      </c>
      <c r="G143" s="14" t="s">
        <v>1261</v>
      </c>
      <c r="H143" s="14" t="s">
        <v>758</v>
      </c>
      <c r="I143" s="14"/>
      <c r="J143" s="16" t="s">
        <v>51</v>
      </c>
      <c r="K143" s="14"/>
    </row>
    <row r="144" spans="1:11" ht="27.75" customHeight="1">
      <c r="A144" s="17" t="s">
        <v>1262</v>
      </c>
      <c r="B144" s="18" t="s">
        <v>1222</v>
      </c>
      <c r="C144" s="18" t="s">
        <v>1263</v>
      </c>
      <c r="D144" s="19" t="s">
        <v>44</v>
      </c>
      <c r="E144" s="17" t="s">
        <v>46</v>
      </c>
      <c r="F144" s="18" t="s">
        <v>1264</v>
      </c>
      <c r="G144" s="18" t="s">
        <v>1265</v>
      </c>
      <c r="H144" s="18" t="s">
        <v>1266</v>
      </c>
      <c r="I144" s="18"/>
      <c r="J144" s="16" t="s">
        <v>51</v>
      </c>
      <c r="K144" s="18"/>
    </row>
    <row r="145" spans="1:11" ht="42" customHeight="1">
      <c r="A145" s="17" t="s">
        <v>1267</v>
      </c>
      <c r="B145" s="18" t="s">
        <v>1222</v>
      </c>
      <c r="C145" s="18" t="s">
        <v>1268</v>
      </c>
      <c r="D145" s="19" t="s">
        <v>44</v>
      </c>
      <c r="E145" s="17" t="s">
        <v>46</v>
      </c>
      <c r="F145" s="18" t="s">
        <v>1269</v>
      </c>
      <c r="G145" s="18" t="s">
        <v>1270</v>
      </c>
      <c r="H145" s="18" t="s">
        <v>1271</v>
      </c>
      <c r="I145" s="18"/>
      <c r="J145" s="16" t="s">
        <v>51</v>
      </c>
      <c r="K145" s="18"/>
    </row>
    <row r="146" spans="1:11" ht="55.5" customHeight="1">
      <c r="A146" s="13" t="s">
        <v>1272</v>
      </c>
      <c r="B146" s="14" t="s">
        <v>1222</v>
      </c>
      <c r="C146" s="14" t="s">
        <v>1078</v>
      </c>
      <c r="D146" s="15" t="s">
        <v>43</v>
      </c>
      <c r="E146" s="13" t="s">
        <v>46</v>
      </c>
      <c r="F146" s="14" t="s">
        <v>1079</v>
      </c>
      <c r="G146" s="14" t="s">
        <v>1273</v>
      </c>
      <c r="H146" s="14" t="s">
        <v>758</v>
      </c>
      <c r="I146" s="14"/>
      <c r="J146" s="16" t="s">
        <v>51</v>
      </c>
      <c r="K146" s="14"/>
    </row>
    <row r="147" spans="1:11" ht="27.75" customHeight="1">
      <c r="A147" s="17" t="s">
        <v>1274</v>
      </c>
      <c r="B147" s="18" t="s">
        <v>1222</v>
      </c>
      <c r="C147" s="18" t="s">
        <v>1082</v>
      </c>
      <c r="D147" s="19" t="s">
        <v>44</v>
      </c>
      <c r="E147" s="17" t="s">
        <v>46</v>
      </c>
      <c r="F147" s="18" t="s">
        <v>1083</v>
      </c>
      <c r="G147" s="18" t="s">
        <v>1084</v>
      </c>
      <c r="H147" s="18" t="s">
        <v>1085</v>
      </c>
      <c r="I147" s="18"/>
      <c r="J147" s="16" t="s">
        <v>51</v>
      </c>
      <c r="K147" s="18"/>
    </row>
    <row r="148" spans="1:11" ht="42" customHeight="1">
      <c r="A148" s="17" t="s">
        <v>1275</v>
      </c>
      <c r="B148" s="18" t="s">
        <v>1222</v>
      </c>
      <c r="C148" s="18" t="s">
        <v>1087</v>
      </c>
      <c r="D148" s="19" t="s">
        <v>44</v>
      </c>
      <c r="E148" s="17" t="s">
        <v>46</v>
      </c>
      <c r="F148" s="18" t="s">
        <v>1088</v>
      </c>
      <c r="G148" s="18" t="s">
        <v>1089</v>
      </c>
      <c r="H148" s="18" t="s">
        <v>1090</v>
      </c>
      <c r="I148" s="18"/>
      <c r="J148" s="16" t="s">
        <v>51</v>
      </c>
      <c r="K148" s="18" t="s">
        <v>631</v>
      </c>
    </row>
    <row r="149" spans="1:11" ht="55.5" customHeight="1">
      <c r="A149" s="17" t="s">
        <v>1276</v>
      </c>
      <c r="B149" s="18" t="s">
        <v>1222</v>
      </c>
      <c r="C149" s="18" t="s">
        <v>1092</v>
      </c>
      <c r="D149" s="19" t="s">
        <v>44</v>
      </c>
      <c r="E149" s="17" t="s">
        <v>47</v>
      </c>
      <c r="F149" s="18" t="s">
        <v>1093</v>
      </c>
      <c r="G149" s="18" t="s">
        <v>1094</v>
      </c>
      <c r="H149" s="18" t="s">
        <v>1095</v>
      </c>
      <c r="I149" s="18"/>
      <c r="J149" s="16" t="s">
        <v>51</v>
      </c>
      <c r="K149" s="18" t="s">
        <v>631</v>
      </c>
    </row>
    <row r="150" spans="1:11" ht="42" customHeight="1">
      <c r="A150" s="13" t="s">
        <v>1277</v>
      </c>
      <c r="B150" s="14" t="s">
        <v>1222</v>
      </c>
      <c r="C150" s="14" t="s">
        <v>1097</v>
      </c>
      <c r="D150" s="15" t="s">
        <v>43</v>
      </c>
      <c r="E150" s="13" t="s">
        <v>46</v>
      </c>
      <c r="F150" s="14" t="s">
        <v>1098</v>
      </c>
      <c r="G150" s="14" t="s">
        <v>1099</v>
      </c>
      <c r="H150" s="14" t="s">
        <v>743</v>
      </c>
      <c r="I150" s="14"/>
      <c r="J150" s="16" t="s">
        <v>51</v>
      </c>
      <c r="K150" s="14"/>
    </row>
    <row r="151" spans="1:11" ht="42" customHeight="1">
      <c r="A151" s="17" t="s">
        <v>1278</v>
      </c>
      <c r="B151" s="18" t="s">
        <v>1222</v>
      </c>
      <c r="C151" s="18" t="s">
        <v>1101</v>
      </c>
      <c r="D151" s="19" t="s">
        <v>44</v>
      </c>
      <c r="E151" s="17" t="s">
        <v>46</v>
      </c>
      <c r="F151" s="18" t="s">
        <v>1102</v>
      </c>
      <c r="G151" s="18" t="s">
        <v>1103</v>
      </c>
      <c r="H151" s="18" t="s">
        <v>1104</v>
      </c>
      <c r="I151" s="18"/>
      <c r="J151" s="16" t="s">
        <v>51</v>
      </c>
      <c r="K151" s="18"/>
    </row>
    <row r="152" spans="1:11" ht="42" customHeight="1">
      <c r="A152" s="13" t="s">
        <v>1279</v>
      </c>
      <c r="B152" s="14" t="s">
        <v>1222</v>
      </c>
      <c r="C152" s="14" t="s">
        <v>1106</v>
      </c>
      <c r="D152" s="15" t="s">
        <v>43</v>
      </c>
      <c r="E152" s="13" t="s">
        <v>47</v>
      </c>
      <c r="F152" s="14" t="s">
        <v>1107</v>
      </c>
      <c r="G152" s="14" t="s">
        <v>1108</v>
      </c>
      <c r="H152" s="14" t="s">
        <v>753</v>
      </c>
      <c r="I152" s="14"/>
      <c r="J152" s="16" t="s">
        <v>51</v>
      </c>
      <c r="K152" s="14" t="s">
        <v>631</v>
      </c>
    </row>
    <row r="153" spans="1:11" ht="42" customHeight="1">
      <c r="A153" s="13" t="s">
        <v>1280</v>
      </c>
      <c r="B153" s="14" t="s">
        <v>1222</v>
      </c>
      <c r="C153" s="14" t="s">
        <v>1110</v>
      </c>
      <c r="D153" s="15" t="s">
        <v>43</v>
      </c>
      <c r="E153" s="13" t="s">
        <v>46</v>
      </c>
      <c r="F153" s="14" t="s">
        <v>1111</v>
      </c>
      <c r="G153" s="14" t="s">
        <v>1112</v>
      </c>
      <c r="H153" s="14" t="s">
        <v>743</v>
      </c>
      <c r="I153" s="14"/>
      <c r="J153" s="16" t="s">
        <v>51</v>
      </c>
      <c r="K153" s="14"/>
    </row>
    <row r="154" spans="1:11" ht="42" customHeight="1">
      <c r="A154" s="17" t="s">
        <v>1281</v>
      </c>
      <c r="B154" s="18" t="s">
        <v>1222</v>
      </c>
      <c r="C154" s="18" t="s">
        <v>1114</v>
      </c>
      <c r="D154" s="19" t="s">
        <v>44</v>
      </c>
      <c r="E154" s="17" t="s">
        <v>46</v>
      </c>
      <c r="F154" s="18" t="s">
        <v>1115</v>
      </c>
      <c r="G154" s="18" t="s">
        <v>1116</v>
      </c>
      <c r="H154" s="18" t="s">
        <v>1117</v>
      </c>
      <c r="I154" s="18"/>
      <c r="J154" s="16" t="s">
        <v>51</v>
      </c>
      <c r="K154" s="18"/>
    </row>
    <row r="155" spans="1:11" ht="42" customHeight="1">
      <c r="A155" s="13" t="s">
        <v>1282</v>
      </c>
      <c r="B155" s="14" t="s">
        <v>1222</v>
      </c>
      <c r="C155" s="14" t="s">
        <v>1119</v>
      </c>
      <c r="D155" s="15" t="s">
        <v>43</v>
      </c>
      <c r="E155" s="13" t="s">
        <v>47</v>
      </c>
      <c r="F155" s="14" t="s">
        <v>1120</v>
      </c>
      <c r="G155" s="14" t="s">
        <v>1121</v>
      </c>
      <c r="H155" s="14" t="s">
        <v>753</v>
      </c>
      <c r="I155" s="14"/>
      <c r="J155" s="16" t="s">
        <v>51</v>
      </c>
      <c r="K155" s="14" t="s">
        <v>631</v>
      </c>
    </row>
    <row r="156" spans="1:11" ht="42" customHeight="1">
      <c r="A156" s="13" t="s">
        <v>1283</v>
      </c>
      <c r="B156" s="14" t="s">
        <v>1222</v>
      </c>
      <c r="C156" s="14" t="s">
        <v>1141</v>
      </c>
      <c r="D156" s="15" t="s">
        <v>43</v>
      </c>
      <c r="E156" s="13" t="s">
        <v>46</v>
      </c>
      <c r="F156" s="14" t="s">
        <v>1142</v>
      </c>
      <c r="G156" s="14" t="s">
        <v>1284</v>
      </c>
      <c r="H156" s="14" t="s">
        <v>743</v>
      </c>
      <c r="I156" s="14"/>
      <c r="J156" s="16" t="s">
        <v>51</v>
      </c>
      <c r="K156" s="14"/>
    </row>
    <row r="157" spans="1:11" ht="42" customHeight="1">
      <c r="A157" s="17" t="s">
        <v>1285</v>
      </c>
      <c r="B157" s="18" t="s">
        <v>1222</v>
      </c>
      <c r="C157" s="18" t="s">
        <v>1145</v>
      </c>
      <c r="D157" s="19" t="s">
        <v>44</v>
      </c>
      <c r="E157" s="17" t="s">
        <v>46</v>
      </c>
      <c r="F157" s="18" t="s">
        <v>1146</v>
      </c>
      <c r="G157" s="18" t="s">
        <v>1147</v>
      </c>
      <c r="H157" s="18" t="s">
        <v>1148</v>
      </c>
      <c r="I157" s="18"/>
      <c r="J157" s="16" t="s">
        <v>51</v>
      </c>
      <c r="K157" s="18"/>
    </row>
    <row r="158" spans="1:11" ht="42" customHeight="1">
      <c r="A158" s="13" t="s">
        <v>1286</v>
      </c>
      <c r="B158" s="14" t="s">
        <v>1222</v>
      </c>
      <c r="C158" s="14" t="s">
        <v>1150</v>
      </c>
      <c r="D158" s="15" t="s">
        <v>43</v>
      </c>
      <c r="E158" s="13" t="s">
        <v>47</v>
      </c>
      <c r="F158" s="14" t="s">
        <v>1151</v>
      </c>
      <c r="G158" s="14" t="s">
        <v>1152</v>
      </c>
      <c r="H158" s="14" t="s">
        <v>753</v>
      </c>
      <c r="I158" s="14"/>
      <c r="J158" s="16" t="s">
        <v>51</v>
      </c>
      <c r="K158" s="14" t="s">
        <v>631</v>
      </c>
    </row>
    <row r="159" spans="1:11" ht="69.75" customHeight="1">
      <c r="A159" s="13" t="s">
        <v>1287</v>
      </c>
      <c r="B159" s="14" t="s">
        <v>1222</v>
      </c>
      <c r="C159" s="14" t="s">
        <v>1154</v>
      </c>
      <c r="D159" s="15" t="s">
        <v>43</v>
      </c>
      <c r="E159" s="13" t="s">
        <v>46</v>
      </c>
      <c r="F159" s="14" t="s">
        <v>1155</v>
      </c>
      <c r="G159" s="14" t="s">
        <v>1288</v>
      </c>
      <c r="H159" s="14" t="s">
        <v>1157</v>
      </c>
      <c r="I159" s="14"/>
      <c r="J159" s="16" t="s">
        <v>51</v>
      </c>
      <c r="K159" s="14"/>
    </row>
    <row r="160" spans="1:11" ht="27.75" customHeight="1">
      <c r="A160" s="17" t="s">
        <v>1289</v>
      </c>
      <c r="B160" s="18" t="s">
        <v>1222</v>
      </c>
      <c r="C160" s="18" t="s">
        <v>1159</v>
      </c>
      <c r="D160" s="19" t="s">
        <v>44</v>
      </c>
      <c r="E160" s="17" t="s">
        <v>46</v>
      </c>
      <c r="F160" s="18" t="s">
        <v>1160</v>
      </c>
      <c r="G160" s="18" t="s">
        <v>1161</v>
      </c>
      <c r="H160" s="18" t="s">
        <v>1162</v>
      </c>
      <c r="I160" s="18"/>
      <c r="J160" s="16" t="s">
        <v>51</v>
      </c>
      <c r="K160" s="18"/>
    </row>
    <row r="161" spans="1:11" ht="55.5" customHeight="1">
      <c r="A161" s="17" t="s">
        <v>1290</v>
      </c>
      <c r="B161" s="18" t="s">
        <v>1222</v>
      </c>
      <c r="C161" s="18" t="s">
        <v>1164</v>
      </c>
      <c r="D161" s="19" t="s">
        <v>44</v>
      </c>
      <c r="E161" s="17" t="s">
        <v>46</v>
      </c>
      <c r="F161" s="18" t="s">
        <v>1291</v>
      </c>
      <c r="G161" s="18" t="s">
        <v>1292</v>
      </c>
      <c r="H161" s="18" t="s">
        <v>1167</v>
      </c>
      <c r="I161" s="18"/>
      <c r="J161" s="16" t="s">
        <v>51</v>
      </c>
      <c r="K161" s="18" t="s">
        <v>631</v>
      </c>
    </row>
    <row r="162" spans="1:11" ht="42" customHeight="1">
      <c r="A162" s="17" t="s">
        <v>1293</v>
      </c>
      <c r="B162" s="18" t="s">
        <v>1222</v>
      </c>
      <c r="C162" s="18" t="s">
        <v>1169</v>
      </c>
      <c r="D162" s="19" t="s">
        <v>44</v>
      </c>
      <c r="E162" s="17" t="s">
        <v>47</v>
      </c>
      <c r="F162" s="18" t="s">
        <v>1170</v>
      </c>
      <c r="G162" s="18" t="s">
        <v>1171</v>
      </c>
      <c r="H162" s="18" t="s">
        <v>651</v>
      </c>
      <c r="I162" s="18"/>
      <c r="J162" s="16" t="s">
        <v>51</v>
      </c>
      <c r="K162" s="18" t="s">
        <v>631</v>
      </c>
    </row>
    <row r="163" spans="1:11" ht="55.5" customHeight="1">
      <c r="A163" s="13" t="s">
        <v>1294</v>
      </c>
      <c r="B163" s="14" t="s">
        <v>1222</v>
      </c>
      <c r="C163" s="14" t="s">
        <v>1295</v>
      </c>
      <c r="D163" s="15" t="s">
        <v>43</v>
      </c>
      <c r="E163" s="13" t="s">
        <v>46</v>
      </c>
      <c r="F163" s="14" t="s">
        <v>1296</v>
      </c>
      <c r="G163" s="14" t="s">
        <v>109</v>
      </c>
      <c r="H163" s="14" t="s">
        <v>1297</v>
      </c>
      <c r="I163" s="14"/>
      <c r="J163" s="16" t="s">
        <v>51</v>
      </c>
      <c r="K163" s="14" t="s">
        <v>1298</v>
      </c>
    </row>
    <row r="164" spans="1:11" ht="55.5" customHeight="1">
      <c r="A164" s="13" t="s">
        <v>1299</v>
      </c>
      <c r="B164" s="14" t="s">
        <v>1300</v>
      </c>
      <c r="C164" s="14" t="s">
        <v>1301</v>
      </c>
      <c r="D164" s="15" t="s">
        <v>43</v>
      </c>
      <c r="E164" s="13" t="s">
        <v>46</v>
      </c>
      <c r="F164" s="14" t="s">
        <v>1302</v>
      </c>
      <c r="G164" s="14" t="s">
        <v>1303</v>
      </c>
      <c r="H164" s="14" t="s">
        <v>1304</v>
      </c>
      <c r="I164" s="14"/>
      <c r="J164" s="16" t="s">
        <v>51</v>
      </c>
      <c r="K164" s="14"/>
    </row>
    <row r="165" spans="1:11" ht="27.75" customHeight="1">
      <c r="A165" s="17" t="s">
        <v>1305</v>
      </c>
      <c r="B165" s="18" t="s">
        <v>1300</v>
      </c>
      <c r="C165" s="18" t="s">
        <v>1306</v>
      </c>
      <c r="D165" s="19" t="s">
        <v>44</v>
      </c>
      <c r="E165" s="17" t="s">
        <v>46</v>
      </c>
      <c r="F165" s="18" t="s">
        <v>1307</v>
      </c>
      <c r="G165" s="18" t="s">
        <v>1308</v>
      </c>
      <c r="H165" s="18" t="s">
        <v>1309</v>
      </c>
      <c r="I165" s="18"/>
      <c r="J165" s="16" t="s">
        <v>51</v>
      </c>
      <c r="K165" s="18"/>
    </row>
    <row r="166" spans="1:11" ht="42" customHeight="1">
      <c r="A166" s="17" t="s">
        <v>1310</v>
      </c>
      <c r="B166" s="18" t="s">
        <v>1300</v>
      </c>
      <c r="C166" s="18" t="s">
        <v>1311</v>
      </c>
      <c r="D166" s="19" t="s">
        <v>44</v>
      </c>
      <c r="E166" s="17" t="s">
        <v>46</v>
      </c>
      <c r="F166" s="18" t="s">
        <v>1312</v>
      </c>
      <c r="G166" s="18" t="s">
        <v>1313</v>
      </c>
      <c r="H166" s="18" t="s">
        <v>1314</v>
      </c>
      <c r="I166" s="18"/>
      <c r="J166" s="16" t="s">
        <v>51</v>
      </c>
      <c r="K166" s="18" t="s">
        <v>631</v>
      </c>
    </row>
    <row r="167" spans="1:11" ht="42" customHeight="1">
      <c r="A167" s="17" t="s">
        <v>1315</v>
      </c>
      <c r="B167" s="18" t="s">
        <v>1300</v>
      </c>
      <c r="C167" s="18" t="s">
        <v>1316</v>
      </c>
      <c r="D167" s="19" t="s">
        <v>44</v>
      </c>
      <c r="E167" s="17" t="s">
        <v>47</v>
      </c>
      <c r="F167" s="18" t="s">
        <v>1317</v>
      </c>
      <c r="G167" s="18" t="s">
        <v>1318</v>
      </c>
      <c r="H167" s="18" t="s">
        <v>651</v>
      </c>
      <c r="I167" s="18"/>
      <c r="J167" s="16" t="s">
        <v>51</v>
      </c>
      <c r="K167" s="18" t="s">
        <v>631</v>
      </c>
    </row>
    <row r="168" spans="1:11" ht="69.75" customHeight="1">
      <c r="A168" s="13" t="s">
        <v>1319</v>
      </c>
      <c r="B168" s="14" t="s">
        <v>1300</v>
      </c>
      <c r="C168" s="14" t="s">
        <v>1320</v>
      </c>
      <c r="D168" s="15" t="s">
        <v>43</v>
      </c>
      <c r="E168" s="13" t="s">
        <v>46</v>
      </c>
      <c r="F168" s="14" t="s">
        <v>1321</v>
      </c>
      <c r="G168" s="14" t="s">
        <v>1322</v>
      </c>
      <c r="H168" s="14" t="s">
        <v>1323</v>
      </c>
      <c r="I168" s="14"/>
      <c r="J168" s="16" t="s">
        <v>51</v>
      </c>
      <c r="K168" s="14"/>
    </row>
    <row r="169" spans="1:11" ht="27.75" customHeight="1">
      <c r="A169" s="17" t="s">
        <v>1324</v>
      </c>
      <c r="B169" s="18" t="s">
        <v>1300</v>
      </c>
      <c r="C169" s="18" t="s">
        <v>1325</v>
      </c>
      <c r="D169" s="19" t="s">
        <v>44</v>
      </c>
      <c r="E169" s="17" t="s">
        <v>46</v>
      </c>
      <c r="F169" s="18" t="s">
        <v>1326</v>
      </c>
      <c r="G169" s="18" t="s">
        <v>1327</v>
      </c>
      <c r="H169" s="18" t="s">
        <v>1328</v>
      </c>
      <c r="I169" s="18"/>
      <c r="J169" s="16" t="s">
        <v>51</v>
      </c>
      <c r="K169" s="18"/>
    </row>
    <row r="170" spans="1:11" ht="42" customHeight="1">
      <c r="A170" s="17" t="s">
        <v>1329</v>
      </c>
      <c r="B170" s="18" t="s">
        <v>1300</v>
      </c>
      <c r="C170" s="18" t="s">
        <v>1330</v>
      </c>
      <c r="D170" s="19" t="s">
        <v>44</v>
      </c>
      <c r="E170" s="17" t="s">
        <v>46</v>
      </c>
      <c r="F170" s="18" t="s">
        <v>1331</v>
      </c>
      <c r="G170" s="18" t="s">
        <v>1332</v>
      </c>
      <c r="H170" s="18" t="s">
        <v>1333</v>
      </c>
      <c r="I170" s="18"/>
      <c r="J170" s="16" t="s">
        <v>51</v>
      </c>
      <c r="K170" s="18" t="s">
        <v>631</v>
      </c>
    </row>
    <row r="171" spans="1:11" ht="55.5" customHeight="1">
      <c r="A171" s="17" t="s">
        <v>1334</v>
      </c>
      <c r="B171" s="18" t="s">
        <v>1300</v>
      </c>
      <c r="C171" s="18" t="s">
        <v>1335</v>
      </c>
      <c r="D171" s="19" t="s">
        <v>44</v>
      </c>
      <c r="E171" s="17" t="s">
        <v>47</v>
      </c>
      <c r="F171" s="18" t="s">
        <v>1336</v>
      </c>
      <c r="G171" s="18" t="s">
        <v>1337</v>
      </c>
      <c r="H171" s="18" t="s">
        <v>651</v>
      </c>
      <c r="I171" s="18"/>
      <c r="J171" s="16" t="s">
        <v>51</v>
      </c>
      <c r="K171" s="18" t="s">
        <v>631</v>
      </c>
    </row>
    <row r="172" spans="1:11" ht="55.5" customHeight="1">
      <c r="A172" s="13" t="s">
        <v>1338</v>
      </c>
      <c r="B172" s="14" t="s">
        <v>1300</v>
      </c>
      <c r="C172" s="14" t="s">
        <v>1339</v>
      </c>
      <c r="D172" s="15" t="s">
        <v>43</v>
      </c>
      <c r="E172" s="13" t="s">
        <v>46</v>
      </c>
      <c r="F172" s="14" t="s">
        <v>1340</v>
      </c>
      <c r="G172" s="14" t="s">
        <v>1341</v>
      </c>
      <c r="H172" s="14" t="s">
        <v>1342</v>
      </c>
      <c r="I172" s="14"/>
      <c r="J172" s="16" t="s">
        <v>51</v>
      </c>
      <c r="K172" s="14"/>
    </row>
    <row r="173" spans="1:11" ht="42" customHeight="1">
      <c r="A173" s="17" t="s">
        <v>1343</v>
      </c>
      <c r="B173" s="18" t="s">
        <v>1300</v>
      </c>
      <c r="C173" s="18" t="s">
        <v>1344</v>
      </c>
      <c r="D173" s="19" t="s">
        <v>44</v>
      </c>
      <c r="E173" s="17" t="s">
        <v>46</v>
      </c>
      <c r="F173" s="18" t="s">
        <v>1345</v>
      </c>
      <c r="G173" s="18" t="s">
        <v>1346</v>
      </c>
      <c r="H173" s="18" t="s">
        <v>1347</v>
      </c>
      <c r="I173" s="18"/>
      <c r="J173" s="16" t="s">
        <v>51</v>
      </c>
      <c r="K173" s="18"/>
    </row>
    <row r="174" spans="1:11" ht="42" customHeight="1">
      <c r="A174" s="17" t="s">
        <v>1348</v>
      </c>
      <c r="B174" s="18" t="s">
        <v>1300</v>
      </c>
      <c r="C174" s="18" t="s">
        <v>1349</v>
      </c>
      <c r="D174" s="19" t="s">
        <v>44</v>
      </c>
      <c r="E174" s="17" t="s">
        <v>46</v>
      </c>
      <c r="F174" s="18" t="s">
        <v>1350</v>
      </c>
      <c r="G174" s="18" t="s">
        <v>1351</v>
      </c>
      <c r="H174" s="18" t="s">
        <v>156</v>
      </c>
      <c r="I174" s="18"/>
      <c r="J174" s="16" t="s">
        <v>51</v>
      </c>
      <c r="K174" s="18"/>
    </row>
    <row r="175" spans="1:11" ht="42" customHeight="1">
      <c r="A175" s="17" t="s">
        <v>1352</v>
      </c>
      <c r="B175" s="18" t="s">
        <v>1300</v>
      </c>
      <c r="C175" s="18" t="s">
        <v>1353</v>
      </c>
      <c r="D175" s="19" t="s">
        <v>44</v>
      </c>
      <c r="E175" s="17" t="s">
        <v>47</v>
      </c>
      <c r="F175" s="18" t="s">
        <v>1354</v>
      </c>
      <c r="G175" s="18" t="s">
        <v>1355</v>
      </c>
      <c r="H175" s="18" t="s">
        <v>630</v>
      </c>
      <c r="I175" s="18"/>
      <c r="J175" s="16" t="s">
        <v>51</v>
      </c>
      <c r="K175" s="18" t="s">
        <v>631</v>
      </c>
    </row>
    <row r="176" spans="1:11" ht="55.5" customHeight="1">
      <c r="A176" s="13" t="s">
        <v>1356</v>
      </c>
      <c r="B176" s="14" t="s">
        <v>1300</v>
      </c>
      <c r="C176" s="14" t="s">
        <v>1357</v>
      </c>
      <c r="D176" s="15" t="s">
        <v>43</v>
      </c>
      <c r="E176" s="13" t="s">
        <v>46</v>
      </c>
      <c r="F176" s="14" t="s">
        <v>1358</v>
      </c>
      <c r="G176" s="14" t="s">
        <v>1359</v>
      </c>
      <c r="H176" s="14" t="s">
        <v>1360</v>
      </c>
      <c r="I176" s="14"/>
      <c r="J176" s="16" t="s">
        <v>51</v>
      </c>
      <c r="K176" s="14"/>
    </row>
    <row r="177" spans="1:11" ht="42" customHeight="1">
      <c r="A177" s="17" t="s">
        <v>1361</v>
      </c>
      <c r="B177" s="18" t="s">
        <v>1300</v>
      </c>
      <c r="C177" s="18" t="s">
        <v>1362</v>
      </c>
      <c r="D177" s="19" t="s">
        <v>44</v>
      </c>
      <c r="E177" s="17" t="s">
        <v>46</v>
      </c>
      <c r="F177" s="18" t="s">
        <v>1363</v>
      </c>
      <c r="G177" s="18" t="s">
        <v>1364</v>
      </c>
      <c r="H177" s="18" t="s">
        <v>1365</v>
      </c>
      <c r="I177" s="18"/>
      <c r="J177" s="16" t="s">
        <v>51</v>
      </c>
      <c r="K177" s="18"/>
    </row>
    <row r="178" spans="1:11" ht="42" customHeight="1">
      <c r="A178" s="17" t="s">
        <v>1366</v>
      </c>
      <c r="B178" s="18" t="s">
        <v>1300</v>
      </c>
      <c r="C178" s="18" t="s">
        <v>1367</v>
      </c>
      <c r="D178" s="19" t="s">
        <v>44</v>
      </c>
      <c r="E178" s="17" t="s">
        <v>46</v>
      </c>
      <c r="F178" s="18" t="s">
        <v>1368</v>
      </c>
      <c r="G178" s="18" t="s">
        <v>1369</v>
      </c>
      <c r="H178" s="18" t="s">
        <v>156</v>
      </c>
      <c r="I178" s="18"/>
      <c r="J178" s="16" t="s">
        <v>51</v>
      </c>
      <c r="K178" s="18"/>
    </row>
    <row r="179" spans="1:11" ht="42" customHeight="1">
      <c r="A179" s="17" t="s">
        <v>1370</v>
      </c>
      <c r="B179" s="18" t="s">
        <v>1300</v>
      </c>
      <c r="C179" s="18" t="s">
        <v>1371</v>
      </c>
      <c r="D179" s="19" t="s">
        <v>44</v>
      </c>
      <c r="E179" s="17" t="s">
        <v>47</v>
      </c>
      <c r="F179" s="18" t="s">
        <v>1372</v>
      </c>
      <c r="G179" s="18" t="s">
        <v>1373</v>
      </c>
      <c r="H179" s="18" t="s">
        <v>630</v>
      </c>
      <c r="I179" s="18"/>
      <c r="J179" s="16" t="s">
        <v>51</v>
      </c>
      <c r="K179" s="18" t="s">
        <v>631</v>
      </c>
    </row>
    <row r="180" spans="1:11" ht="42" customHeight="1">
      <c r="A180" s="13" t="s">
        <v>1374</v>
      </c>
      <c r="B180" s="14" t="s">
        <v>1300</v>
      </c>
      <c r="C180" s="14" t="s">
        <v>1375</v>
      </c>
      <c r="D180" s="15" t="s">
        <v>43</v>
      </c>
      <c r="E180" s="13" t="s">
        <v>46</v>
      </c>
      <c r="F180" s="14" t="s">
        <v>1376</v>
      </c>
      <c r="G180" s="14" t="s">
        <v>1377</v>
      </c>
      <c r="H180" s="14" t="s">
        <v>743</v>
      </c>
      <c r="I180" s="14"/>
      <c r="J180" s="16" t="s">
        <v>51</v>
      </c>
      <c r="K180" s="14"/>
    </row>
    <row r="181" spans="1:11" ht="42" customHeight="1">
      <c r="A181" s="17" t="s">
        <v>1378</v>
      </c>
      <c r="B181" s="18" t="s">
        <v>1300</v>
      </c>
      <c r="C181" s="18" t="s">
        <v>1379</v>
      </c>
      <c r="D181" s="19" t="s">
        <v>44</v>
      </c>
      <c r="E181" s="17" t="s">
        <v>46</v>
      </c>
      <c r="F181" s="18" t="s">
        <v>1380</v>
      </c>
      <c r="G181" s="18" t="s">
        <v>1381</v>
      </c>
      <c r="H181" s="18" t="s">
        <v>1382</v>
      </c>
      <c r="I181" s="18"/>
      <c r="J181" s="16" t="s">
        <v>51</v>
      </c>
      <c r="K181" s="18"/>
    </row>
    <row r="182" spans="1:11" ht="42" customHeight="1">
      <c r="A182" s="13" t="s">
        <v>1383</v>
      </c>
      <c r="B182" s="14" t="s">
        <v>1300</v>
      </c>
      <c r="C182" s="14" t="s">
        <v>1384</v>
      </c>
      <c r="D182" s="15" t="s">
        <v>43</v>
      </c>
      <c r="E182" s="13" t="s">
        <v>47</v>
      </c>
      <c r="F182" s="14" t="s">
        <v>1385</v>
      </c>
      <c r="G182" s="14" t="s">
        <v>1386</v>
      </c>
      <c r="H182" s="14" t="s">
        <v>753</v>
      </c>
      <c r="I182" s="14"/>
      <c r="J182" s="16" t="s">
        <v>51</v>
      </c>
      <c r="K182" s="14" t="s">
        <v>631</v>
      </c>
    </row>
    <row r="183" spans="1:11" ht="42" customHeight="1">
      <c r="A183" s="13" t="s">
        <v>1387</v>
      </c>
      <c r="B183" s="14" t="s">
        <v>1300</v>
      </c>
      <c r="C183" s="14" t="s">
        <v>1388</v>
      </c>
      <c r="D183" s="15" t="s">
        <v>43</v>
      </c>
      <c r="E183" s="13" t="s">
        <v>46</v>
      </c>
      <c r="F183" s="14" t="s">
        <v>1389</v>
      </c>
      <c r="G183" s="14" t="s">
        <v>1390</v>
      </c>
      <c r="H183" s="14" t="s">
        <v>743</v>
      </c>
      <c r="I183" s="14"/>
      <c r="J183" s="16" t="s">
        <v>51</v>
      </c>
      <c r="K183" s="14"/>
    </row>
    <row r="184" spans="1:11" ht="42" customHeight="1">
      <c r="A184" s="17" t="s">
        <v>1391</v>
      </c>
      <c r="B184" s="18" t="s">
        <v>1300</v>
      </c>
      <c r="C184" s="18" t="s">
        <v>1392</v>
      </c>
      <c r="D184" s="19" t="s">
        <v>44</v>
      </c>
      <c r="E184" s="17" t="s">
        <v>46</v>
      </c>
      <c r="F184" s="18" t="s">
        <v>1393</v>
      </c>
      <c r="G184" s="18" t="s">
        <v>1394</v>
      </c>
      <c r="H184" s="18" t="s">
        <v>1395</v>
      </c>
      <c r="I184" s="18"/>
      <c r="J184" s="16" t="s">
        <v>51</v>
      </c>
      <c r="K184" s="18"/>
    </row>
    <row r="185" spans="1:11" ht="42" customHeight="1">
      <c r="A185" s="13" t="s">
        <v>1396</v>
      </c>
      <c r="B185" s="14" t="s">
        <v>1300</v>
      </c>
      <c r="C185" s="14" t="s">
        <v>1397</v>
      </c>
      <c r="D185" s="15" t="s">
        <v>43</v>
      </c>
      <c r="E185" s="13" t="s">
        <v>47</v>
      </c>
      <c r="F185" s="14" t="s">
        <v>1398</v>
      </c>
      <c r="G185" s="14" t="s">
        <v>1399</v>
      </c>
      <c r="H185" s="14" t="s">
        <v>753</v>
      </c>
      <c r="I185" s="14"/>
      <c r="J185" s="16" t="s">
        <v>51</v>
      </c>
      <c r="K185" s="14" t="s">
        <v>631</v>
      </c>
    </row>
    <row r="186" spans="1:11" ht="55.5" customHeight="1">
      <c r="A186" s="13" t="s">
        <v>1400</v>
      </c>
      <c r="B186" s="14" t="s">
        <v>1300</v>
      </c>
      <c r="C186" s="14" t="s">
        <v>1401</v>
      </c>
      <c r="D186" s="15" t="s">
        <v>43</v>
      </c>
      <c r="E186" s="13" t="s">
        <v>46</v>
      </c>
      <c r="F186" s="14" t="s">
        <v>1402</v>
      </c>
      <c r="G186" s="14" t="s">
        <v>1403</v>
      </c>
      <c r="H186" s="14" t="s">
        <v>1404</v>
      </c>
      <c r="I186" s="14"/>
      <c r="J186" s="16" t="s">
        <v>51</v>
      </c>
      <c r="K186" s="14"/>
    </row>
    <row r="187" spans="1:11" ht="42" customHeight="1">
      <c r="A187" s="17" t="s">
        <v>1405</v>
      </c>
      <c r="B187" s="18" t="s">
        <v>1300</v>
      </c>
      <c r="C187" s="18" t="s">
        <v>1406</v>
      </c>
      <c r="D187" s="19" t="s">
        <v>44</v>
      </c>
      <c r="E187" s="17" t="s">
        <v>46</v>
      </c>
      <c r="F187" s="18" t="s">
        <v>1407</v>
      </c>
      <c r="G187" s="18" t="s">
        <v>1408</v>
      </c>
      <c r="H187" s="18" t="s">
        <v>1409</v>
      </c>
      <c r="I187" s="18"/>
      <c r="J187" s="16" t="s">
        <v>51</v>
      </c>
      <c r="K187" s="18"/>
    </row>
    <row r="188" spans="1:11" ht="42" customHeight="1">
      <c r="A188" s="17" t="s">
        <v>1410</v>
      </c>
      <c r="B188" s="18" t="s">
        <v>1300</v>
      </c>
      <c r="C188" s="18" t="s">
        <v>1411</v>
      </c>
      <c r="D188" s="19" t="s">
        <v>44</v>
      </c>
      <c r="E188" s="17" t="s">
        <v>46</v>
      </c>
      <c r="F188" s="18" t="s">
        <v>1412</v>
      </c>
      <c r="G188" s="18" t="s">
        <v>1413</v>
      </c>
      <c r="H188" s="18" t="s">
        <v>156</v>
      </c>
      <c r="I188" s="18"/>
      <c r="J188" s="16" t="s">
        <v>51</v>
      </c>
      <c r="K188" s="18"/>
    </row>
    <row r="189" spans="1:11" ht="42" customHeight="1">
      <c r="A189" s="17" t="s">
        <v>1414</v>
      </c>
      <c r="B189" s="18" t="s">
        <v>1300</v>
      </c>
      <c r="C189" s="18" t="s">
        <v>1415</v>
      </c>
      <c r="D189" s="19" t="s">
        <v>44</v>
      </c>
      <c r="E189" s="17" t="s">
        <v>47</v>
      </c>
      <c r="F189" s="18" t="s">
        <v>1416</v>
      </c>
      <c r="G189" s="18" t="s">
        <v>1417</v>
      </c>
      <c r="H189" s="18" t="s">
        <v>630</v>
      </c>
      <c r="I189" s="18"/>
      <c r="J189" s="16" t="s">
        <v>51</v>
      </c>
      <c r="K189" s="18" t="s">
        <v>631</v>
      </c>
    </row>
    <row r="190" spans="1:11" ht="42" customHeight="1">
      <c r="A190" s="13" t="s">
        <v>1418</v>
      </c>
      <c r="B190" s="14" t="s">
        <v>1300</v>
      </c>
      <c r="C190" s="14" t="s">
        <v>1419</v>
      </c>
      <c r="D190" s="15" t="s">
        <v>43</v>
      </c>
      <c r="E190" s="13" t="s">
        <v>46</v>
      </c>
      <c r="F190" s="14" t="s">
        <v>1420</v>
      </c>
      <c r="G190" s="14" t="s">
        <v>1421</v>
      </c>
      <c r="H190" s="14" t="s">
        <v>743</v>
      </c>
      <c r="I190" s="14"/>
      <c r="J190" s="16" t="s">
        <v>51</v>
      </c>
      <c r="K190" s="14"/>
    </row>
    <row r="191" spans="1:11" ht="42" customHeight="1">
      <c r="A191" s="17" t="s">
        <v>1422</v>
      </c>
      <c r="B191" s="18" t="s">
        <v>1300</v>
      </c>
      <c r="C191" s="18" t="s">
        <v>1423</v>
      </c>
      <c r="D191" s="19" t="s">
        <v>44</v>
      </c>
      <c r="E191" s="17" t="s">
        <v>46</v>
      </c>
      <c r="F191" s="18" t="s">
        <v>1424</v>
      </c>
      <c r="G191" s="18" t="s">
        <v>1425</v>
      </c>
      <c r="H191" s="18" t="s">
        <v>1426</v>
      </c>
      <c r="I191" s="18"/>
      <c r="J191" s="16" t="s">
        <v>51</v>
      </c>
      <c r="K191" s="18"/>
    </row>
    <row r="192" spans="1:11" ht="42" customHeight="1">
      <c r="A192" s="13" t="s">
        <v>1427</v>
      </c>
      <c r="B192" s="14" t="s">
        <v>1300</v>
      </c>
      <c r="C192" s="14" t="s">
        <v>1428</v>
      </c>
      <c r="D192" s="15" t="s">
        <v>43</v>
      </c>
      <c r="E192" s="13" t="s">
        <v>47</v>
      </c>
      <c r="F192" s="14" t="s">
        <v>1429</v>
      </c>
      <c r="G192" s="14" t="s">
        <v>1430</v>
      </c>
      <c r="H192" s="14" t="s">
        <v>753</v>
      </c>
      <c r="I192" s="14"/>
      <c r="J192" s="16" t="s">
        <v>51</v>
      </c>
      <c r="K192" s="14" t="s">
        <v>631</v>
      </c>
    </row>
    <row r="193" spans="1:11" ht="69.75" customHeight="1">
      <c r="A193" s="13" t="s">
        <v>1431</v>
      </c>
      <c r="B193" s="14" t="s">
        <v>1300</v>
      </c>
      <c r="C193" s="14" t="s">
        <v>1432</v>
      </c>
      <c r="D193" s="15" t="s">
        <v>43</v>
      </c>
      <c r="E193" s="13" t="s">
        <v>45</v>
      </c>
      <c r="F193" s="14" t="s">
        <v>1433</v>
      </c>
      <c r="G193" s="14" t="s">
        <v>1434</v>
      </c>
      <c r="H193" s="14" t="s">
        <v>966</v>
      </c>
      <c r="I193" s="14"/>
      <c r="J193" s="16" t="s">
        <v>51</v>
      </c>
      <c r="K193" s="14"/>
    </row>
    <row r="194" spans="1:11" ht="27.75" customHeight="1">
      <c r="A194" s="17" t="s">
        <v>1435</v>
      </c>
      <c r="B194" s="18" t="s">
        <v>1300</v>
      </c>
      <c r="C194" s="18" t="s">
        <v>1436</v>
      </c>
      <c r="D194" s="19" t="s">
        <v>44</v>
      </c>
      <c r="E194" s="17" t="s">
        <v>45</v>
      </c>
      <c r="F194" s="18" t="s">
        <v>1437</v>
      </c>
      <c r="G194" s="18" t="s">
        <v>1438</v>
      </c>
      <c r="H194" s="18" t="s">
        <v>1439</v>
      </c>
      <c r="I194" s="18"/>
      <c r="J194" s="16" t="s">
        <v>51</v>
      </c>
      <c r="K194" s="18"/>
    </row>
    <row r="195" spans="1:11" ht="55.5" customHeight="1">
      <c r="A195" s="17" t="s">
        <v>1440</v>
      </c>
      <c r="B195" s="18" t="s">
        <v>1300</v>
      </c>
      <c r="C195" s="18" t="s">
        <v>1441</v>
      </c>
      <c r="D195" s="19" t="s">
        <v>44</v>
      </c>
      <c r="E195" s="17" t="s">
        <v>45</v>
      </c>
      <c r="F195" s="18" t="s">
        <v>1442</v>
      </c>
      <c r="G195" s="18" t="s">
        <v>1005</v>
      </c>
      <c r="H195" s="18" t="s">
        <v>976</v>
      </c>
      <c r="I195" s="18"/>
      <c r="J195" s="16" t="s">
        <v>51</v>
      </c>
      <c r="K195" s="18"/>
    </row>
    <row r="196" spans="1:11" ht="42" customHeight="1">
      <c r="A196" s="17" t="s">
        <v>1443</v>
      </c>
      <c r="B196" s="18" t="s">
        <v>1300</v>
      </c>
      <c r="C196" s="18" t="s">
        <v>1444</v>
      </c>
      <c r="D196" s="19" t="s">
        <v>44</v>
      </c>
      <c r="E196" s="17" t="s">
        <v>46</v>
      </c>
      <c r="F196" s="18" t="s">
        <v>1445</v>
      </c>
      <c r="G196" s="18" t="s">
        <v>980</v>
      </c>
      <c r="H196" s="18" t="s">
        <v>1446</v>
      </c>
      <c r="I196" s="18"/>
      <c r="J196" s="16" t="s">
        <v>51</v>
      </c>
      <c r="K196" s="18"/>
    </row>
    <row r="197" spans="1:11" ht="27.75" customHeight="1">
      <c r="A197" s="17" t="s">
        <v>1447</v>
      </c>
      <c r="B197" s="18" t="s">
        <v>1300</v>
      </c>
      <c r="C197" s="18" t="s">
        <v>1448</v>
      </c>
      <c r="D197" s="19" t="s">
        <v>44</v>
      </c>
      <c r="E197" s="17" t="s">
        <v>46</v>
      </c>
      <c r="F197" s="18" t="s">
        <v>1449</v>
      </c>
      <c r="G197" s="18" t="s">
        <v>1450</v>
      </c>
      <c r="H197" s="18" t="s">
        <v>986</v>
      </c>
      <c r="I197" s="18"/>
      <c r="J197" s="16" t="s">
        <v>51</v>
      </c>
      <c r="K197" s="18"/>
    </row>
    <row r="198" spans="1:11" ht="42" customHeight="1">
      <c r="A198" s="17" t="s">
        <v>1451</v>
      </c>
      <c r="B198" s="18" t="s">
        <v>1300</v>
      </c>
      <c r="C198" s="18" t="s">
        <v>1452</v>
      </c>
      <c r="D198" s="19" t="s">
        <v>44</v>
      </c>
      <c r="E198" s="17" t="s">
        <v>46</v>
      </c>
      <c r="F198" s="18" t="s">
        <v>1453</v>
      </c>
      <c r="G198" s="18" t="s">
        <v>1454</v>
      </c>
      <c r="H198" s="18" t="s">
        <v>991</v>
      </c>
      <c r="I198" s="18"/>
      <c r="J198" s="16" t="s">
        <v>51</v>
      </c>
      <c r="K198" s="18"/>
    </row>
    <row r="199" spans="1:11" ht="69.75" customHeight="1">
      <c r="A199" s="13" t="s">
        <v>1455</v>
      </c>
      <c r="B199" s="14" t="s">
        <v>1300</v>
      </c>
      <c r="C199" s="14" t="s">
        <v>1456</v>
      </c>
      <c r="D199" s="15" t="s">
        <v>43</v>
      </c>
      <c r="E199" s="13" t="s">
        <v>46</v>
      </c>
      <c r="F199" s="14" t="s">
        <v>1457</v>
      </c>
      <c r="G199" s="14" t="s">
        <v>1458</v>
      </c>
      <c r="H199" s="14" t="s">
        <v>1459</v>
      </c>
      <c r="I199" s="14"/>
      <c r="J199" s="16" t="s">
        <v>51</v>
      </c>
      <c r="K199" s="14"/>
    </row>
    <row r="200" spans="1:11" ht="42" customHeight="1">
      <c r="A200" s="17" t="s">
        <v>1460</v>
      </c>
      <c r="B200" s="18" t="s">
        <v>1300</v>
      </c>
      <c r="C200" s="18" t="s">
        <v>1461</v>
      </c>
      <c r="D200" s="19" t="s">
        <v>44</v>
      </c>
      <c r="E200" s="17" t="s">
        <v>45</v>
      </c>
      <c r="F200" s="18" t="s">
        <v>1462</v>
      </c>
      <c r="G200" s="18" t="s">
        <v>1463</v>
      </c>
      <c r="H200" s="18" t="s">
        <v>1464</v>
      </c>
      <c r="I200" s="18"/>
      <c r="J200" s="16" t="s">
        <v>51</v>
      </c>
      <c r="K200" s="18"/>
    </row>
    <row r="201" spans="1:11" ht="42" customHeight="1">
      <c r="A201" s="17" t="s">
        <v>1465</v>
      </c>
      <c r="B201" s="18" t="s">
        <v>1300</v>
      </c>
      <c r="C201" s="18" t="s">
        <v>1466</v>
      </c>
      <c r="D201" s="19" t="s">
        <v>44</v>
      </c>
      <c r="E201" s="17" t="s">
        <v>46</v>
      </c>
      <c r="F201" s="18" t="s">
        <v>1467</v>
      </c>
      <c r="G201" s="18" t="s">
        <v>1468</v>
      </c>
      <c r="H201" s="18" t="s">
        <v>1469</v>
      </c>
      <c r="I201" s="18"/>
      <c r="J201" s="16" t="s">
        <v>51</v>
      </c>
      <c r="K201" s="18" t="s">
        <v>631</v>
      </c>
    </row>
    <row r="202" spans="1:11" ht="42" customHeight="1">
      <c r="A202" s="13" t="s">
        <v>1470</v>
      </c>
      <c r="B202" s="14" t="s">
        <v>1471</v>
      </c>
      <c r="C202" s="14" t="s">
        <v>1472</v>
      </c>
      <c r="D202" s="15" t="s">
        <v>43</v>
      </c>
      <c r="E202" s="13" t="s">
        <v>46</v>
      </c>
      <c r="F202" s="14" t="s">
        <v>1473</v>
      </c>
      <c r="G202" s="14" t="s">
        <v>1474</v>
      </c>
      <c r="H202" s="14" t="s">
        <v>743</v>
      </c>
      <c r="I202" s="14"/>
      <c r="J202" s="16" t="s">
        <v>51</v>
      </c>
      <c r="K202" s="14"/>
    </row>
    <row r="203" spans="1:11" ht="42" customHeight="1">
      <c r="A203" s="17" t="s">
        <v>1475</v>
      </c>
      <c r="B203" s="18" t="s">
        <v>1471</v>
      </c>
      <c r="C203" s="18" t="s">
        <v>1476</v>
      </c>
      <c r="D203" s="19" t="s">
        <v>44</v>
      </c>
      <c r="E203" s="17" t="s">
        <v>46</v>
      </c>
      <c r="F203" s="18" t="s">
        <v>1477</v>
      </c>
      <c r="G203" s="18" t="s">
        <v>1478</v>
      </c>
      <c r="H203" s="18" t="s">
        <v>1479</v>
      </c>
      <c r="I203" s="18"/>
      <c r="J203" s="16" t="s">
        <v>51</v>
      </c>
      <c r="K203" s="18"/>
    </row>
    <row r="204" spans="1:11" ht="42" customHeight="1">
      <c r="A204" s="13" t="s">
        <v>1480</v>
      </c>
      <c r="B204" s="14" t="s">
        <v>1471</v>
      </c>
      <c r="C204" s="14" t="s">
        <v>1481</v>
      </c>
      <c r="D204" s="15" t="s">
        <v>43</v>
      </c>
      <c r="E204" s="13" t="s">
        <v>47</v>
      </c>
      <c r="F204" s="14" t="s">
        <v>1482</v>
      </c>
      <c r="G204" s="14" t="s">
        <v>1483</v>
      </c>
      <c r="H204" s="14" t="s">
        <v>753</v>
      </c>
      <c r="I204" s="14"/>
      <c r="J204" s="16" t="s">
        <v>51</v>
      </c>
      <c r="K204" s="14" t="s">
        <v>631</v>
      </c>
    </row>
    <row r="205" spans="1:11" ht="42" customHeight="1">
      <c r="A205" s="13" t="s">
        <v>1484</v>
      </c>
      <c r="B205" s="14" t="s">
        <v>1471</v>
      </c>
      <c r="C205" s="14" t="s">
        <v>1485</v>
      </c>
      <c r="D205" s="15" t="s">
        <v>43</v>
      </c>
      <c r="E205" s="13" t="s">
        <v>46</v>
      </c>
      <c r="F205" s="14" t="s">
        <v>756</v>
      </c>
      <c r="G205" s="14" t="s">
        <v>1486</v>
      </c>
      <c r="H205" s="14" t="s">
        <v>758</v>
      </c>
      <c r="I205" s="14"/>
      <c r="J205" s="16" t="s">
        <v>51</v>
      </c>
      <c r="K205" s="14"/>
    </row>
    <row r="206" spans="1:11" ht="27.75" customHeight="1">
      <c r="A206" s="17" t="s">
        <v>1487</v>
      </c>
      <c r="B206" s="18" t="s">
        <v>1471</v>
      </c>
      <c r="C206" s="18" t="s">
        <v>1488</v>
      </c>
      <c r="D206" s="19" t="s">
        <v>44</v>
      </c>
      <c r="E206" s="17" t="s">
        <v>46</v>
      </c>
      <c r="F206" s="18" t="s">
        <v>1489</v>
      </c>
      <c r="G206" s="18" t="s">
        <v>1490</v>
      </c>
      <c r="H206" s="18" t="s">
        <v>1491</v>
      </c>
      <c r="I206" s="18"/>
      <c r="J206" s="16" t="s">
        <v>51</v>
      </c>
      <c r="K206" s="18"/>
    </row>
    <row r="207" spans="1:11" ht="42" customHeight="1">
      <c r="A207" s="17" t="s">
        <v>1492</v>
      </c>
      <c r="B207" s="18" t="s">
        <v>1471</v>
      </c>
      <c r="C207" s="18" t="s">
        <v>1493</v>
      </c>
      <c r="D207" s="19" t="s">
        <v>44</v>
      </c>
      <c r="E207" s="17" t="s">
        <v>46</v>
      </c>
      <c r="F207" s="18" t="s">
        <v>766</v>
      </c>
      <c r="G207" s="18" t="s">
        <v>1494</v>
      </c>
      <c r="H207" s="18" t="s">
        <v>768</v>
      </c>
      <c r="I207" s="18"/>
      <c r="J207" s="16" t="s">
        <v>51</v>
      </c>
      <c r="K207" s="18"/>
    </row>
    <row r="208" spans="1:11" ht="69.75" customHeight="1">
      <c r="A208" s="13" t="s">
        <v>1495</v>
      </c>
      <c r="B208" s="14" t="s">
        <v>1471</v>
      </c>
      <c r="C208" s="14" t="s">
        <v>1496</v>
      </c>
      <c r="D208" s="15" t="s">
        <v>43</v>
      </c>
      <c r="E208" s="13" t="s">
        <v>46</v>
      </c>
      <c r="F208" s="14" t="s">
        <v>1497</v>
      </c>
      <c r="G208" s="14" t="s">
        <v>1498</v>
      </c>
      <c r="H208" s="14" t="s">
        <v>1499</v>
      </c>
      <c r="I208" s="14"/>
      <c r="J208" s="16" t="s">
        <v>51</v>
      </c>
      <c r="K208" s="14" t="s">
        <v>631</v>
      </c>
    </row>
    <row r="209" spans="1:11" ht="69.75" customHeight="1">
      <c r="A209" s="13" t="s">
        <v>1500</v>
      </c>
      <c r="B209" s="14" t="s">
        <v>1471</v>
      </c>
      <c r="C209" s="14" t="s">
        <v>1501</v>
      </c>
      <c r="D209" s="15" t="s">
        <v>43</v>
      </c>
      <c r="E209" s="13" t="s">
        <v>46</v>
      </c>
      <c r="F209" s="14" t="s">
        <v>1502</v>
      </c>
      <c r="G209" s="14" t="s">
        <v>1503</v>
      </c>
      <c r="H209" s="14" t="s">
        <v>1504</v>
      </c>
      <c r="I209" s="14"/>
      <c r="J209" s="16" t="s">
        <v>51</v>
      </c>
      <c r="K209" s="14"/>
    </row>
    <row r="210" spans="1:11" ht="27.75" customHeight="1">
      <c r="A210" s="17" t="s">
        <v>1505</v>
      </c>
      <c r="B210" s="18" t="s">
        <v>1471</v>
      </c>
      <c r="C210" s="18" t="s">
        <v>1506</v>
      </c>
      <c r="D210" s="19" t="s">
        <v>44</v>
      </c>
      <c r="E210" s="17" t="s">
        <v>46</v>
      </c>
      <c r="F210" s="18" t="s">
        <v>1507</v>
      </c>
      <c r="G210" s="18" t="s">
        <v>1508</v>
      </c>
      <c r="H210" s="18" t="s">
        <v>1509</v>
      </c>
      <c r="I210" s="18"/>
      <c r="J210" s="16" t="s">
        <v>51</v>
      </c>
      <c r="K210" s="18"/>
    </row>
    <row r="211" spans="1:11" ht="55.5" customHeight="1">
      <c r="A211" s="17" t="s">
        <v>1510</v>
      </c>
      <c r="B211" s="18" t="s">
        <v>1471</v>
      </c>
      <c r="C211" s="18" t="s">
        <v>1511</v>
      </c>
      <c r="D211" s="19" t="s">
        <v>44</v>
      </c>
      <c r="E211" s="17" t="s">
        <v>46</v>
      </c>
      <c r="F211" s="18" t="s">
        <v>1512</v>
      </c>
      <c r="G211" s="18" t="s">
        <v>1513</v>
      </c>
      <c r="H211" s="18" t="s">
        <v>1514</v>
      </c>
      <c r="I211" s="18"/>
      <c r="J211" s="16" t="s">
        <v>51</v>
      </c>
      <c r="K211" s="18" t="s">
        <v>631</v>
      </c>
    </row>
    <row r="212" spans="1:11" ht="55.5" customHeight="1">
      <c r="A212" s="17" t="s">
        <v>1515</v>
      </c>
      <c r="B212" s="18" t="s">
        <v>1471</v>
      </c>
      <c r="C212" s="18" t="s">
        <v>1516</v>
      </c>
      <c r="D212" s="19" t="s">
        <v>44</v>
      </c>
      <c r="E212" s="17" t="s">
        <v>47</v>
      </c>
      <c r="F212" s="18" t="s">
        <v>1517</v>
      </c>
      <c r="G212" s="18" t="s">
        <v>1518</v>
      </c>
      <c r="H212" s="18" t="s">
        <v>651</v>
      </c>
      <c r="I212" s="18"/>
      <c r="J212" s="16" t="s">
        <v>51</v>
      </c>
      <c r="K212" s="18" t="s">
        <v>631</v>
      </c>
    </row>
    <row r="213" spans="1:11" ht="84" customHeight="1">
      <c r="A213" s="13" t="s">
        <v>1519</v>
      </c>
      <c r="B213" s="14" t="s">
        <v>1471</v>
      </c>
      <c r="C213" s="14" t="s">
        <v>1520</v>
      </c>
      <c r="D213" s="15" t="s">
        <v>43</v>
      </c>
      <c r="E213" s="13" t="s">
        <v>45</v>
      </c>
      <c r="F213" s="14" t="s">
        <v>1521</v>
      </c>
      <c r="G213" s="14" t="s">
        <v>1522</v>
      </c>
      <c r="H213" s="14" t="s">
        <v>966</v>
      </c>
      <c r="I213" s="14"/>
      <c r="J213" s="16" t="s">
        <v>51</v>
      </c>
      <c r="K213" s="14"/>
    </row>
    <row r="214" spans="1:11" ht="27.75" customHeight="1">
      <c r="A214" s="17" t="s">
        <v>1523</v>
      </c>
      <c r="B214" s="18" t="s">
        <v>1471</v>
      </c>
      <c r="C214" s="18" t="s">
        <v>1524</v>
      </c>
      <c r="D214" s="19" t="s">
        <v>44</v>
      </c>
      <c r="E214" s="17" t="s">
        <v>45</v>
      </c>
      <c r="F214" s="18" t="s">
        <v>1525</v>
      </c>
      <c r="G214" s="18" t="s">
        <v>1526</v>
      </c>
      <c r="H214" s="18" t="s">
        <v>1527</v>
      </c>
      <c r="I214" s="18"/>
      <c r="J214" s="16" t="s">
        <v>51</v>
      </c>
      <c r="K214" s="18"/>
    </row>
    <row r="215" spans="1:11" ht="55.5" customHeight="1">
      <c r="A215" s="17" t="s">
        <v>1528</v>
      </c>
      <c r="B215" s="18" t="s">
        <v>1471</v>
      </c>
      <c r="C215" s="18" t="s">
        <v>1529</v>
      </c>
      <c r="D215" s="19" t="s">
        <v>44</v>
      </c>
      <c r="E215" s="17" t="s">
        <v>45</v>
      </c>
      <c r="F215" s="18" t="s">
        <v>1530</v>
      </c>
      <c r="G215" s="18" t="s">
        <v>1005</v>
      </c>
      <c r="H215" s="18" t="s">
        <v>976</v>
      </c>
      <c r="I215" s="18"/>
      <c r="J215" s="16" t="s">
        <v>51</v>
      </c>
      <c r="K215" s="18"/>
    </row>
    <row r="216" spans="1:11" ht="42" customHeight="1">
      <c r="A216" s="17" t="s">
        <v>1531</v>
      </c>
      <c r="B216" s="18" t="s">
        <v>1471</v>
      </c>
      <c r="C216" s="18" t="s">
        <v>1532</v>
      </c>
      <c r="D216" s="19" t="s">
        <v>44</v>
      </c>
      <c r="E216" s="17" t="s">
        <v>46</v>
      </c>
      <c r="F216" s="18" t="s">
        <v>1533</v>
      </c>
      <c r="G216" s="18" t="s">
        <v>980</v>
      </c>
      <c r="H216" s="18" t="s">
        <v>1534</v>
      </c>
      <c r="I216" s="18"/>
      <c r="J216" s="16" t="s">
        <v>51</v>
      </c>
      <c r="K216" s="18"/>
    </row>
    <row r="217" spans="1:11" ht="27.75" customHeight="1">
      <c r="A217" s="17" t="s">
        <v>1535</v>
      </c>
      <c r="B217" s="18" t="s">
        <v>1471</v>
      </c>
      <c r="C217" s="18" t="s">
        <v>1536</v>
      </c>
      <c r="D217" s="19" t="s">
        <v>44</v>
      </c>
      <c r="E217" s="17" t="s">
        <v>46</v>
      </c>
      <c r="F217" s="18" t="s">
        <v>1537</v>
      </c>
      <c r="G217" s="18" t="s">
        <v>1538</v>
      </c>
      <c r="H217" s="18" t="s">
        <v>986</v>
      </c>
      <c r="I217" s="18"/>
      <c r="J217" s="16" t="s">
        <v>51</v>
      </c>
      <c r="K217" s="18"/>
    </row>
    <row r="218" spans="1:11" ht="42" customHeight="1">
      <c r="A218" s="17" t="s">
        <v>1539</v>
      </c>
      <c r="B218" s="18" t="s">
        <v>1471</v>
      </c>
      <c r="C218" s="18" t="s">
        <v>1540</v>
      </c>
      <c r="D218" s="19" t="s">
        <v>44</v>
      </c>
      <c r="E218" s="17" t="s">
        <v>46</v>
      </c>
      <c r="F218" s="18" t="s">
        <v>1541</v>
      </c>
      <c r="G218" s="18" t="s">
        <v>1542</v>
      </c>
      <c r="H218" s="18" t="s">
        <v>991</v>
      </c>
      <c r="I218" s="18"/>
      <c r="J218" s="16" t="s">
        <v>51</v>
      </c>
      <c r="K218" s="18"/>
    </row>
    <row r="219" spans="1:11" ht="55.5" customHeight="1">
      <c r="A219" s="13" t="s">
        <v>1543</v>
      </c>
      <c r="B219" s="14" t="s">
        <v>1471</v>
      </c>
      <c r="C219" s="14" t="s">
        <v>1544</v>
      </c>
      <c r="D219" s="15" t="s">
        <v>43</v>
      </c>
      <c r="E219" s="13" t="s">
        <v>46</v>
      </c>
      <c r="F219" s="14" t="s">
        <v>1545</v>
      </c>
      <c r="G219" s="14" t="s">
        <v>1546</v>
      </c>
      <c r="H219" s="14" t="s">
        <v>1547</v>
      </c>
      <c r="I219" s="14"/>
      <c r="J219" s="16" t="s">
        <v>51</v>
      </c>
      <c r="K219" s="14"/>
    </row>
    <row r="220" spans="1:11" ht="69.75" customHeight="1">
      <c r="A220" s="13" t="s">
        <v>1548</v>
      </c>
      <c r="B220" s="14" t="s">
        <v>1549</v>
      </c>
      <c r="C220" s="14" t="s">
        <v>1550</v>
      </c>
      <c r="D220" s="15" t="s">
        <v>43</v>
      </c>
      <c r="E220" s="13" t="s">
        <v>45</v>
      </c>
      <c r="F220" s="14" t="s">
        <v>1551</v>
      </c>
      <c r="G220" s="14" t="s">
        <v>1552</v>
      </c>
      <c r="H220" s="14" t="s">
        <v>966</v>
      </c>
      <c r="I220" s="14"/>
      <c r="J220" s="16" t="s">
        <v>51</v>
      </c>
      <c r="K220" s="14" t="s">
        <v>631</v>
      </c>
    </row>
    <row r="221" spans="1:11" ht="55.5" customHeight="1">
      <c r="A221" s="17" t="s">
        <v>1553</v>
      </c>
      <c r="B221" s="18" t="s">
        <v>1549</v>
      </c>
      <c r="C221" s="18" t="s">
        <v>1554</v>
      </c>
      <c r="D221" s="19" t="s">
        <v>44</v>
      </c>
      <c r="E221" s="17" t="s">
        <v>45</v>
      </c>
      <c r="F221" s="18" t="s">
        <v>1555</v>
      </c>
      <c r="G221" s="18" t="s">
        <v>1005</v>
      </c>
      <c r="H221" s="18" t="s">
        <v>976</v>
      </c>
      <c r="I221" s="18"/>
      <c r="J221" s="16" t="s">
        <v>51</v>
      </c>
      <c r="K221" s="18"/>
    </row>
    <row r="222" spans="1:11" ht="55.5" customHeight="1">
      <c r="A222" s="17" t="s">
        <v>1556</v>
      </c>
      <c r="B222" s="18" t="s">
        <v>1549</v>
      </c>
      <c r="C222" s="18" t="s">
        <v>1557</v>
      </c>
      <c r="D222" s="19" t="s">
        <v>44</v>
      </c>
      <c r="E222" s="17" t="s">
        <v>46</v>
      </c>
      <c r="F222" s="18" t="s">
        <v>1558</v>
      </c>
      <c r="G222" s="18" t="s">
        <v>980</v>
      </c>
      <c r="H222" s="18" t="s">
        <v>1559</v>
      </c>
      <c r="I222" s="18"/>
      <c r="J222" s="16" t="s">
        <v>51</v>
      </c>
      <c r="K222" s="18"/>
    </row>
    <row r="223" spans="1:11" ht="42" customHeight="1">
      <c r="A223" s="17" t="s">
        <v>1560</v>
      </c>
      <c r="B223" s="18" t="s">
        <v>1549</v>
      </c>
      <c r="C223" s="18" t="s">
        <v>1561</v>
      </c>
      <c r="D223" s="19" t="s">
        <v>44</v>
      </c>
      <c r="E223" s="17" t="s">
        <v>46</v>
      </c>
      <c r="F223" s="18" t="s">
        <v>1562</v>
      </c>
      <c r="G223" s="18" t="s">
        <v>1563</v>
      </c>
      <c r="H223" s="18" t="s">
        <v>986</v>
      </c>
      <c r="I223" s="18"/>
      <c r="J223" s="16" t="s">
        <v>51</v>
      </c>
      <c r="K223" s="18"/>
    </row>
    <row r="224" spans="1:11" ht="42" customHeight="1">
      <c r="A224" s="17" t="s">
        <v>1564</v>
      </c>
      <c r="B224" s="18" t="s">
        <v>1549</v>
      </c>
      <c r="C224" s="18" t="s">
        <v>1565</v>
      </c>
      <c r="D224" s="19" t="s">
        <v>44</v>
      </c>
      <c r="E224" s="17" t="s">
        <v>46</v>
      </c>
      <c r="F224" s="18" t="s">
        <v>1566</v>
      </c>
      <c r="G224" s="18" t="s">
        <v>1567</v>
      </c>
      <c r="H224" s="18" t="s">
        <v>991</v>
      </c>
      <c r="I224" s="18"/>
      <c r="J224" s="16" t="s">
        <v>51</v>
      </c>
      <c r="K224" s="18"/>
    </row>
    <row r="225" spans="1:11" ht="69.75" customHeight="1">
      <c r="A225" s="13" t="s">
        <v>1568</v>
      </c>
      <c r="B225" s="14" t="s">
        <v>1549</v>
      </c>
      <c r="C225" s="14" t="s">
        <v>1569</v>
      </c>
      <c r="D225" s="15" t="s">
        <v>43</v>
      </c>
      <c r="E225" s="13" t="s">
        <v>45</v>
      </c>
      <c r="F225" s="14" t="s">
        <v>1570</v>
      </c>
      <c r="G225" s="14" t="s">
        <v>1571</v>
      </c>
      <c r="H225" s="14" t="s">
        <v>966</v>
      </c>
      <c r="I225" s="14"/>
      <c r="J225" s="16" t="s">
        <v>51</v>
      </c>
      <c r="K225" s="14" t="s">
        <v>631</v>
      </c>
    </row>
    <row r="226" spans="1:11" ht="55.5" customHeight="1">
      <c r="A226" s="17" t="s">
        <v>1572</v>
      </c>
      <c r="B226" s="18" t="s">
        <v>1549</v>
      </c>
      <c r="C226" s="18" t="s">
        <v>1573</v>
      </c>
      <c r="D226" s="19" t="s">
        <v>44</v>
      </c>
      <c r="E226" s="17" t="s">
        <v>45</v>
      </c>
      <c r="F226" s="18" t="s">
        <v>1574</v>
      </c>
      <c r="G226" s="18" t="s">
        <v>1575</v>
      </c>
      <c r="H226" s="18" t="s">
        <v>976</v>
      </c>
      <c r="I226" s="18"/>
      <c r="J226" s="16" t="s">
        <v>51</v>
      </c>
      <c r="K226" s="18"/>
    </row>
    <row r="227" spans="1:11" ht="55.5" customHeight="1">
      <c r="A227" s="17" t="s">
        <v>1576</v>
      </c>
      <c r="B227" s="18" t="s">
        <v>1549</v>
      </c>
      <c r="C227" s="18" t="s">
        <v>1577</v>
      </c>
      <c r="D227" s="19" t="s">
        <v>44</v>
      </c>
      <c r="E227" s="17" t="s">
        <v>46</v>
      </c>
      <c r="F227" s="18" t="s">
        <v>1578</v>
      </c>
      <c r="G227" s="18" t="s">
        <v>980</v>
      </c>
      <c r="H227" s="18" t="s">
        <v>1579</v>
      </c>
      <c r="I227" s="18"/>
      <c r="J227" s="16" t="s">
        <v>51</v>
      </c>
      <c r="K227" s="18"/>
    </row>
    <row r="228" spans="1:11" ht="42" customHeight="1">
      <c r="A228" s="17" t="s">
        <v>1580</v>
      </c>
      <c r="B228" s="18" t="s">
        <v>1549</v>
      </c>
      <c r="C228" s="18" t="s">
        <v>1581</v>
      </c>
      <c r="D228" s="19" t="s">
        <v>44</v>
      </c>
      <c r="E228" s="17" t="s">
        <v>46</v>
      </c>
      <c r="F228" s="18" t="s">
        <v>1582</v>
      </c>
      <c r="G228" s="18" t="s">
        <v>1583</v>
      </c>
      <c r="H228" s="18" t="s">
        <v>986</v>
      </c>
      <c r="I228" s="18"/>
      <c r="J228" s="16" t="s">
        <v>51</v>
      </c>
      <c r="K228" s="18"/>
    </row>
    <row r="229" spans="1:11" ht="42" customHeight="1">
      <c r="A229" s="17" t="s">
        <v>1584</v>
      </c>
      <c r="B229" s="18" t="s">
        <v>1549</v>
      </c>
      <c r="C229" s="18" t="s">
        <v>1585</v>
      </c>
      <c r="D229" s="19" t="s">
        <v>44</v>
      </c>
      <c r="E229" s="17" t="s">
        <v>46</v>
      </c>
      <c r="F229" s="18" t="s">
        <v>1586</v>
      </c>
      <c r="G229" s="18" t="s">
        <v>1587</v>
      </c>
      <c r="H229" s="18" t="s">
        <v>991</v>
      </c>
      <c r="I229" s="18"/>
      <c r="J229" s="16" t="s">
        <v>51</v>
      </c>
      <c r="K229" s="18"/>
    </row>
    <row r="230" spans="1:11" ht="55.5" customHeight="1">
      <c r="A230" s="17" t="s">
        <v>1588</v>
      </c>
      <c r="B230" s="18" t="s">
        <v>1549</v>
      </c>
      <c r="C230" s="18" t="s">
        <v>1589</v>
      </c>
      <c r="D230" s="19" t="s">
        <v>44</v>
      </c>
      <c r="E230" s="17" t="s">
        <v>46</v>
      </c>
      <c r="F230" s="18" t="s">
        <v>1590</v>
      </c>
      <c r="G230" s="18" t="s">
        <v>1591</v>
      </c>
      <c r="H230" s="18" t="s">
        <v>1592</v>
      </c>
      <c r="I230" s="18"/>
      <c r="J230" s="16" t="s">
        <v>51</v>
      </c>
      <c r="K230" s="18"/>
    </row>
    <row r="231" spans="1:11" ht="55.5" customHeight="1">
      <c r="A231" s="13" t="s">
        <v>1593</v>
      </c>
      <c r="B231" s="14" t="s">
        <v>1594</v>
      </c>
      <c r="C231" s="14" t="s">
        <v>1595</v>
      </c>
      <c r="D231" s="15" t="s">
        <v>43</v>
      </c>
      <c r="E231" s="13" t="s">
        <v>45</v>
      </c>
      <c r="F231" s="14" t="s">
        <v>1596</v>
      </c>
      <c r="G231" s="14" t="s">
        <v>109</v>
      </c>
      <c r="H231" s="14" t="s">
        <v>1597</v>
      </c>
      <c r="I231" s="14"/>
      <c r="J231" s="16" t="s">
        <v>51</v>
      </c>
      <c r="K231" s="14"/>
    </row>
    <row r="232" spans="1:11" ht="42" customHeight="1">
      <c r="A232" s="17" t="s">
        <v>1598</v>
      </c>
      <c r="B232" s="18" t="s">
        <v>1594</v>
      </c>
      <c r="C232" s="18" t="s">
        <v>1599</v>
      </c>
      <c r="D232" s="19" t="s">
        <v>44</v>
      </c>
      <c r="E232" s="17" t="s">
        <v>45</v>
      </c>
      <c r="F232" s="18" t="s">
        <v>1600</v>
      </c>
      <c r="G232" s="18" t="s">
        <v>109</v>
      </c>
      <c r="H232" s="18" t="s">
        <v>1601</v>
      </c>
      <c r="I232" s="18"/>
      <c r="J232" s="16" t="s">
        <v>51</v>
      </c>
      <c r="K232" s="18"/>
    </row>
    <row r="233" spans="1:11" ht="27.75" customHeight="1">
      <c r="A233" s="13" t="s">
        <v>1602</v>
      </c>
      <c r="B233" s="14" t="s">
        <v>1594</v>
      </c>
      <c r="C233" s="14" t="s">
        <v>1603</v>
      </c>
      <c r="D233" s="15" t="s">
        <v>43</v>
      </c>
      <c r="E233" s="13" t="s">
        <v>46</v>
      </c>
      <c r="F233" s="14" t="s">
        <v>1604</v>
      </c>
      <c r="G233" s="14" t="s">
        <v>109</v>
      </c>
      <c r="H233" s="14" t="s">
        <v>1605</v>
      </c>
      <c r="I233" s="14"/>
      <c r="J233" s="16" t="s">
        <v>51</v>
      </c>
      <c r="K233" s="14"/>
    </row>
    <row r="234" spans="1:11" ht="42" customHeight="1">
      <c r="A234" s="17" t="s">
        <v>1606</v>
      </c>
      <c r="B234" s="18" t="s">
        <v>1594</v>
      </c>
      <c r="C234" s="18" t="s">
        <v>1607</v>
      </c>
      <c r="D234" s="19" t="s">
        <v>44</v>
      </c>
      <c r="E234" s="17" t="s">
        <v>46</v>
      </c>
      <c r="F234" s="18" t="s">
        <v>1608</v>
      </c>
      <c r="G234" s="18" t="s">
        <v>109</v>
      </c>
      <c r="H234" s="18" t="s">
        <v>1609</v>
      </c>
      <c r="I234" s="18"/>
      <c r="J234" s="16" t="s">
        <v>51</v>
      </c>
      <c r="K234" s="18"/>
    </row>
    <row r="235" spans="1:11" ht="69.75" customHeight="1">
      <c r="A235" s="13" t="s">
        <v>1610</v>
      </c>
      <c r="B235" s="14" t="s">
        <v>1611</v>
      </c>
      <c r="C235" s="14" t="s">
        <v>1612</v>
      </c>
      <c r="D235" s="15" t="s">
        <v>43</v>
      </c>
      <c r="E235" s="13" t="s">
        <v>45</v>
      </c>
      <c r="F235" s="14" t="s">
        <v>1613</v>
      </c>
      <c r="G235" s="14" t="s">
        <v>1614</v>
      </c>
      <c r="H235" s="14" t="s">
        <v>1615</v>
      </c>
      <c r="I235" s="14"/>
      <c r="J235" s="16" t="s">
        <v>51</v>
      </c>
      <c r="K235" s="14" t="s">
        <v>1616</v>
      </c>
    </row>
    <row r="236" spans="1:11" ht="42" customHeight="1">
      <c r="A236" s="17" t="s">
        <v>1617</v>
      </c>
      <c r="B236" s="18" t="s">
        <v>1611</v>
      </c>
      <c r="C236" s="18" t="s">
        <v>1618</v>
      </c>
      <c r="D236" s="19" t="s">
        <v>44</v>
      </c>
      <c r="E236" s="17" t="s">
        <v>45</v>
      </c>
      <c r="F236" s="18" t="s">
        <v>1619</v>
      </c>
      <c r="G236" s="18" t="s">
        <v>1620</v>
      </c>
      <c r="H236" s="18" t="s">
        <v>1621</v>
      </c>
      <c r="I236" s="18"/>
      <c r="J236" s="16" t="s">
        <v>51</v>
      </c>
      <c r="K236" s="18" t="s">
        <v>631</v>
      </c>
    </row>
    <row r="237" spans="1:11" ht="42" customHeight="1">
      <c r="A237" s="13" t="s">
        <v>1622</v>
      </c>
      <c r="B237" s="14" t="s">
        <v>1611</v>
      </c>
      <c r="C237" s="14" t="s">
        <v>1623</v>
      </c>
      <c r="D237" s="15" t="s">
        <v>43</v>
      </c>
      <c r="E237" s="13" t="s">
        <v>47</v>
      </c>
      <c r="F237" s="14" t="s">
        <v>1624</v>
      </c>
      <c r="G237" s="14" t="s">
        <v>109</v>
      </c>
      <c r="H237" s="14" t="s">
        <v>1625</v>
      </c>
      <c r="I237" s="14"/>
      <c r="J237" s="16" t="s">
        <v>51</v>
      </c>
      <c r="K237" s="14"/>
    </row>
    <row r="238" spans="1:11" ht="84" customHeight="1">
      <c r="A238" s="13" t="s">
        <v>1626</v>
      </c>
      <c r="B238" s="14" t="s">
        <v>1627</v>
      </c>
      <c r="C238" s="14" t="s">
        <v>1628</v>
      </c>
      <c r="D238" s="15" t="s">
        <v>43</v>
      </c>
      <c r="E238" s="13" t="s">
        <v>45</v>
      </c>
      <c r="F238" s="14" t="s">
        <v>1629</v>
      </c>
      <c r="G238" s="14" t="s">
        <v>1630</v>
      </c>
      <c r="H238" s="14" t="s">
        <v>1631</v>
      </c>
      <c r="I238" s="14"/>
      <c r="J238" s="16" t="s">
        <v>51</v>
      </c>
      <c r="K238" s="14"/>
    </row>
    <row r="239" spans="1:11" ht="55.5" customHeight="1">
      <c r="A239" s="13" t="s">
        <v>1632</v>
      </c>
      <c r="B239" s="14" t="s">
        <v>1627</v>
      </c>
      <c r="C239" s="14" t="s">
        <v>1633</v>
      </c>
      <c r="D239" s="15" t="s">
        <v>43</v>
      </c>
      <c r="E239" s="13" t="s">
        <v>46</v>
      </c>
      <c r="F239" s="14" t="s">
        <v>1634</v>
      </c>
      <c r="G239" s="14" t="s">
        <v>109</v>
      </c>
      <c r="H239" s="14" t="s">
        <v>1635</v>
      </c>
      <c r="I239" s="14"/>
      <c r="J239" s="16" t="s">
        <v>51</v>
      </c>
      <c r="K239" s="14"/>
    </row>
    <row r="240" spans="1:11" ht="42" customHeight="1">
      <c r="A240" s="13" t="s">
        <v>1636</v>
      </c>
      <c r="B240" s="14" t="s">
        <v>1627</v>
      </c>
      <c r="C240" s="14" t="s">
        <v>1637</v>
      </c>
      <c r="D240" s="15" t="s">
        <v>43</v>
      </c>
      <c r="E240" s="13" t="s">
        <v>46</v>
      </c>
      <c r="F240" s="14" t="s">
        <v>1638</v>
      </c>
      <c r="G240" s="14" t="s">
        <v>1639</v>
      </c>
      <c r="H240" s="14" t="s">
        <v>1640</v>
      </c>
      <c r="I240" s="14"/>
      <c r="J240" s="16" t="s">
        <v>51</v>
      </c>
      <c r="K240" s="14"/>
    </row>
    <row r="241" spans="1:11" ht="55.5" customHeight="1">
      <c r="A241" s="17" t="s">
        <v>1641</v>
      </c>
      <c r="B241" s="18" t="s">
        <v>1627</v>
      </c>
      <c r="C241" s="18" t="s">
        <v>1642</v>
      </c>
      <c r="D241" s="19" t="s">
        <v>44</v>
      </c>
      <c r="E241" s="17" t="s">
        <v>45</v>
      </c>
      <c r="F241" s="18" t="s">
        <v>1643</v>
      </c>
      <c r="G241" s="18" t="s">
        <v>1644</v>
      </c>
      <c r="H241" s="18" t="s">
        <v>1645</v>
      </c>
      <c r="I241" s="18"/>
      <c r="J241" s="16" t="s">
        <v>51</v>
      </c>
      <c r="K241" s="18"/>
    </row>
    <row r="242" spans="1:11" ht="55.5" customHeight="1">
      <c r="A242" s="13" t="s">
        <v>1646</v>
      </c>
      <c r="B242" s="14" t="s">
        <v>1627</v>
      </c>
      <c r="C242" s="14" t="s">
        <v>1647</v>
      </c>
      <c r="D242" s="15" t="s">
        <v>43</v>
      </c>
      <c r="E242" s="13" t="s">
        <v>45</v>
      </c>
      <c r="F242" s="14" t="s">
        <v>1648</v>
      </c>
      <c r="G242" s="14" t="s">
        <v>1649</v>
      </c>
      <c r="H242" s="14" t="s">
        <v>1650</v>
      </c>
      <c r="I242" s="14"/>
      <c r="J242" s="16" t="s">
        <v>51</v>
      </c>
      <c r="K242" s="14"/>
    </row>
    <row r="243" spans="1:11" ht="55.5" customHeight="1">
      <c r="A243" s="13" t="s">
        <v>1651</v>
      </c>
      <c r="B243" s="14" t="s">
        <v>1652</v>
      </c>
      <c r="C243" s="14" t="s">
        <v>1653</v>
      </c>
      <c r="D243" s="15" t="s">
        <v>43</v>
      </c>
      <c r="E243" s="13" t="s">
        <v>45</v>
      </c>
      <c r="F243" s="14" t="s">
        <v>1654</v>
      </c>
      <c r="G243" s="14" t="s">
        <v>1655</v>
      </c>
      <c r="H243" s="14" t="s">
        <v>1656</v>
      </c>
      <c r="I243" s="14"/>
      <c r="J243" s="16" t="s">
        <v>51</v>
      </c>
      <c r="K243" s="14" t="s">
        <v>1657</v>
      </c>
    </row>
    <row r="244" spans="1:11" ht="55.5" customHeight="1">
      <c r="A244" s="13" t="s">
        <v>1658</v>
      </c>
      <c r="B244" s="14" t="s">
        <v>1652</v>
      </c>
      <c r="C244" s="14" t="s">
        <v>1659</v>
      </c>
      <c r="D244" s="15" t="s">
        <v>43</v>
      </c>
      <c r="E244" s="13" t="s">
        <v>46</v>
      </c>
      <c r="F244" s="14" t="s">
        <v>1660</v>
      </c>
      <c r="G244" s="14" t="s">
        <v>109</v>
      </c>
      <c r="H244" s="14" t="s">
        <v>1661</v>
      </c>
      <c r="I244" s="14"/>
      <c r="J244" s="16" t="s">
        <v>51</v>
      </c>
      <c r="K244" s="14"/>
    </row>
    <row r="245" spans="1:11" ht="42" customHeight="1">
      <c r="A245" s="17" t="s">
        <v>1662</v>
      </c>
      <c r="B245" s="18" t="s">
        <v>1652</v>
      </c>
      <c r="C245" s="18" t="s">
        <v>1663</v>
      </c>
      <c r="D245" s="19" t="s">
        <v>44</v>
      </c>
      <c r="E245" s="17" t="s">
        <v>45</v>
      </c>
      <c r="F245" s="18" t="s">
        <v>1664</v>
      </c>
      <c r="G245" s="18" t="s">
        <v>1665</v>
      </c>
      <c r="H245" s="18" t="s">
        <v>1666</v>
      </c>
      <c r="I245" s="18"/>
      <c r="J245" s="16" t="s">
        <v>51</v>
      </c>
      <c r="K245" s="18"/>
    </row>
    <row r="246" spans="1:11" ht="55.5" customHeight="1">
      <c r="A246" s="13" t="s">
        <v>1667</v>
      </c>
      <c r="B246" s="14" t="s">
        <v>1652</v>
      </c>
      <c r="C246" s="14" t="s">
        <v>1668</v>
      </c>
      <c r="D246" s="15" t="s">
        <v>43</v>
      </c>
      <c r="E246" s="13" t="s">
        <v>46</v>
      </c>
      <c r="F246" s="14" t="s">
        <v>1669</v>
      </c>
      <c r="G246" s="14" t="s">
        <v>109</v>
      </c>
      <c r="H246" s="14" t="s">
        <v>1670</v>
      </c>
      <c r="I246" s="14"/>
      <c r="J246" s="16" t="s">
        <v>51</v>
      </c>
      <c r="K246" s="14"/>
    </row>
    <row r="247" spans="1:11" ht="42" customHeight="1">
      <c r="A247" s="17" t="s">
        <v>1671</v>
      </c>
      <c r="B247" s="18" t="s">
        <v>1652</v>
      </c>
      <c r="C247" s="18" t="s">
        <v>1672</v>
      </c>
      <c r="D247" s="19" t="s">
        <v>44</v>
      </c>
      <c r="E247" s="17" t="s">
        <v>45</v>
      </c>
      <c r="F247" s="18" t="s">
        <v>1673</v>
      </c>
      <c r="G247" s="18" t="s">
        <v>1674</v>
      </c>
      <c r="H247" s="18" t="s">
        <v>1675</v>
      </c>
      <c r="I247" s="18"/>
      <c r="J247" s="16" t="s">
        <v>51</v>
      </c>
      <c r="K247" s="18"/>
    </row>
    <row r="248" spans="1:11" ht="42" customHeight="1">
      <c r="A248" s="13" t="s">
        <v>1676</v>
      </c>
      <c r="B248" s="14" t="s">
        <v>1652</v>
      </c>
      <c r="C248" s="14" t="s">
        <v>1677</v>
      </c>
      <c r="D248" s="15" t="s">
        <v>43</v>
      </c>
      <c r="E248" s="13" t="s">
        <v>47</v>
      </c>
      <c r="F248" s="14" t="s">
        <v>1678</v>
      </c>
      <c r="G248" s="14" t="s">
        <v>109</v>
      </c>
      <c r="H248" s="14" t="s">
        <v>1679</v>
      </c>
      <c r="I248" s="14"/>
      <c r="J248" s="16" t="s">
        <v>51</v>
      </c>
      <c r="K248" s="14"/>
    </row>
    <row r="249" spans="1:11" ht="84" customHeight="1">
      <c r="A249" s="13" t="s">
        <v>1680</v>
      </c>
      <c r="B249" s="14" t="s">
        <v>1681</v>
      </c>
      <c r="C249" s="14" t="s">
        <v>1682</v>
      </c>
      <c r="D249" s="15" t="s">
        <v>43</v>
      </c>
      <c r="E249" s="13" t="s">
        <v>45</v>
      </c>
      <c r="F249" s="14" t="s">
        <v>1683</v>
      </c>
      <c r="G249" s="14" t="s">
        <v>1684</v>
      </c>
      <c r="H249" s="14" t="s">
        <v>1685</v>
      </c>
      <c r="I249" s="14"/>
      <c r="J249" s="16" t="s">
        <v>51</v>
      </c>
      <c r="K249" s="14" t="s">
        <v>1686</v>
      </c>
    </row>
    <row r="250" spans="1:11" ht="69.75" customHeight="1">
      <c r="A250" s="17" t="s">
        <v>1687</v>
      </c>
      <c r="B250" s="18" t="s">
        <v>1681</v>
      </c>
      <c r="C250" s="18" t="s">
        <v>1688</v>
      </c>
      <c r="D250" s="19" t="s">
        <v>44</v>
      </c>
      <c r="E250" s="17" t="s">
        <v>45</v>
      </c>
      <c r="F250" s="18" t="s">
        <v>1689</v>
      </c>
      <c r="G250" s="18" t="s">
        <v>1690</v>
      </c>
      <c r="H250" s="18" t="s">
        <v>1691</v>
      </c>
      <c r="I250" s="18"/>
      <c r="J250" s="16" t="s">
        <v>51</v>
      </c>
      <c r="K250" s="18" t="s">
        <v>631</v>
      </c>
    </row>
    <row r="251" spans="1:11" ht="55.5" customHeight="1">
      <c r="A251" s="13" t="s">
        <v>1692</v>
      </c>
      <c r="B251" s="14" t="s">
        <v>1681</v>
      </c>
      <c r="C251" s="14" t="s">
        <v>1693</v>
      </c>
      <c r="D251" s="15" t="s">
        <v>43</v>
      </c>
      <c r="E251" s="13" t="s">
        <v>45</v>
      </c>
      <c r="F251" s="14" t="s">
        <v>1694</v>
      </c>
      <c r="G251" s="14" t="s">
        <v>1695</v>
      </c>
      <c r="H251" s="14" t="s">
        <v>1696</v>
      </c>
      <c r="I251" s="14"/>
      <c r="J251" s="16" t="s">
        <v>51</v>
      </c>
      <c r="K251" s="14"/>
    </row>
    <row r="252" spans="1:11" ht="55.5" customHeight="1">
      <c r="A252" s="17" t="s">
        <v>1697</v>
      </c>
      <c r="B252" s="18" t="s">
        <v>1681</v>
      </c>
      <c r="C252" s="18" t="s">
        <v>1698</v>
      </c>
      <c r="D252" s="19" t="s">
        <v>44</v>
      </c>
      <c r="E252" s="17" t="s">
        <v>46</v>
      </c>
      <c r="F252" s="18" t="s">
        <v>1699</v>
      </c>
      <c r="G252" s="18" t="s">
        <v>1700</v>
      </c>
      <c r="H252" s="18" t="s">
        <v>1701</v>
      </c>
      <c r="I252" s="18"/>
      <c r="J252" s="16" t="s">
        <v>51</v>
      </c>
      <c r="K252" s="18"/>
    </row>
    <row r="253" spans="1:11" ht="42" customHeight="1">
      <c r="A253" s="17" t="s">
        <v>1702</v>
      </c>
      <c r="B253" s="18" t="s">
        <v>1681</v>
      </c>
      <c r="C253" s="18" t="s">
        <v>1703</v>
      </c>
      <c r="D253" s="19" t="s">
        <v>44</v>
      </c>
      <c r="E253" s="17" t="s">
        <v>45</v>
      </c>
      <c r="F253" s="18" t="s">
        <v>1704</v>
      </c>
      <c r="G253" s="18" t="s">
        <v>1705</v>
      </c>
      <c r="H253" s="18" t="s">
        <v>1706</v>
      </c>
      <c r="I253" s="18"/>
      <c r="J253" s="16" t="s">
        <v>51</v>
      </c>
      <c r="K253" s="18"/>
    </row>
    <row r="254" spans="1:11" ht="55.5" customHeight="1">
      <c r="A254" s="13" t="s">
        <v>1707</v>
      </c>
      <c r="B254" s="14" t="s">
        <v>1681</v>
      </c>
      <c r="C254" s="14" t="s">
        <v>1708</v>
      </c>
      <c r="D254" s="15" t="s">
        <v>43</v>
      </c>
      <c r="E254" s="13" t="s">
        <v>46</v>
      </c>
      <c r="F254" s="14" t="s">
        <v>1709</v>
      </c>
      <c r="G254" s="14" t="s">
        <v>1710</v>
      </c>
      <c r="H254" s="14" t="s">
        <v>1711</v>
      </c>
      <c r="I254" s="14"/>
      <c r="J254" s="16" t="s">
        <v>51</v>
      </c>
      <c r="K254" s="14" t="s">
        <v>1712</v>
      </c>
    </row>
    <row r="255" spans="1:11" ht="55.5" customHeight="1">
      <c r="A255" s="17" t="s">
        <v>1713</v>
      </c>
      <c r="B255" s="18" t="s">
        <v>1681</v>
      </c>
      <c r="C255" s="18" t="s">
        <v>1714</v>
      </c>
      <c r="D255" s="19" t="s">
        <v>44</v>
      </c>
      <c r="E255" s="17" t="s">
        <v>46</v>
      </c>
      <c r="F255" s="18" t="s">
        <v>1715</v>
      </c>
      <c r="G255" s="18" t="s">
        <v>109</v>
      </c>
      <c r="H255" s="18" t="s">
        <v>1716</v>
      </c>
      <c r="I255" s="18"/>
      <c r="J255" s="16" t="s">
        <v>51</v>
      </c>
      <c r="K255" s="18"/>
    </row>
    <row r="256" spans="1:11" ht="69.75" customHeight="1">
      <c r="A256" s="13" t="s">
        <v>1717</v>
      </c>
      <c r="B256" s="14" t="s">
        <v>1681</v>
      </c>
      <c r="C256" s="14" t="s">
        <v>1718</v>
      </c>
      <c r="D256" s="15" t="s">
        <v>43</v>
      </c>
      <c r="E256" s="13" t="s">
        <v>46</v>
      </c>
      <c r="F256" s="14" t="s">
        <v>1719</v>
      </c>
      <c r="G256" s="14" t="s">
        <v>1720</v>
      </c>
      <c r="H256" s="14" t="s">
        <v>1721</v>
      </c>
      <c r="I256" s="14"/>
      <c r="J256" s="16" t="s">
        <v>51</v>
      </c>
      <c r="K256" s="14"/>
    </row>
  </sheetData>
  <autoFilter ref="A1:K256" xr:uid="{00000000-0009-0000-0000-000004000000}"/>
  <dataValidations count="3">
    <dataValidation type="list" allowBlank="1" sqref="D2:D256" xr:uid="{00000000-0002-0000-0400-000000000000}">
      <formula1>"Positive,Negative,Functional - Positive,Functional - Negative,Validation - Positive,Validation - Negative,Defect - Functional,Defect - Validation"</formula1>
      <formula2>0</formula2>
    </dataValidation>
    <dataValidation type="list" allowBlank="1" sqref="E2:E256" xr:uid="{00000000-0002-0000-0400-000001000000}">
      <formula1>"High,Medium,Low"</formula1>
      <formula2>0</formula2>
    </dataValidation>
    <dataValidation type="list" allowBlank="1" sqref="J2:J256" xr:uid="{00000000-0002-0000-04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23"/>
  <sheetViews>
    <sheetView zoomScaleNormal="100" workbookViewId="0">
      <selection activeCell="A2" sqref="A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55.5" customHeight="1">
      <c r="A2" s="13" t="s">
        <v>1722</v>
      </c>
      <c r="B2" s="14" t="s">
        <v>612</v>
      </c>
      <c r="C2" s="14" t="s">
        <v>613</v>
      </c>
      <c r="D2" s="15" t="s">
        <v>43</v>
      </c>
      <c r="E2" s="13" t="s">
        <v>46</v>
      </c>
      <c r="F2" s="14" t="s">
        <v>614</v>
      </c>
      <c r="G2" s="14" t="s">
        <v>1723</v>
      </c>
      <c r="H2" s="14" t="s">
        <v>616</v>
      </c>
      <c r="I2" s="14"/>
      <c r="J2" s="16" t="s">
        <v>51</v>
      </c>
      <c r="K2" s="14" t="s">
        <v>1724</v>
      </c>
    </row>
    <row r="3" spans="1:11" ht="55.5" customHeight="1">
      <c r="A3" s="17" t="s">
        <v>1725</v>
      </c>
      <c r="B3" s="18" t="s">
        <v>612</v>
      </c>
      <c r="C3" s="18" t="s">
        <v>618</v>
      </c>
      <c r="D3" s="19" t="s">
        <v>44</v>
      </c>
      <c r="E3" s="17" t="s">
        <v>46</v>
      </c>
      <c r="F3" s="18" t="s">
        <v>619</v>
      </c>
      <c r="G3" s="18" t="s">
        <v>620</v>
      </c>
      <c r="H3" s="18" t="s">
        <v>621</v>
      </c>
      <c r="I3" s="18"/>
      <c r="J3" s="16" t="s">
        <v>51</v>
      </c>
      <c r="K3" s="18" t="s">
        <v>1724</v>
      </c>
    </row>
    <row r="4" spans="1:11" ht="55.5" customHeight="1">
      <c r="A4" s="17" t="s">
        <v>1726</v>
      </c>
      <c r="B4" s="18" t="s">
        <v>612</v>
      </c>
      <c r="C4" s="18" t="s">
        <v>623</v>
      </c>
      <c r="D4" s="19" t="s">
        <v>44</v>
      </c>
      <c r="E4" s="17" t="s">
        <v>46</v>
      </c>
      <c r="F4" s="18" t="s">
        <v>624</v>
      </c>
      <c r="G4" s="18" t="s">
        <v>625</v>
      </c>
      <c r="H4" s="18" t="s">
        <v>156</v>
      </c>
      <c r="I4" s="18"/>
      <c r="J4" s="16" t="s">
        <v>51</v>
      </c>
      <c r="K4" s="18" t="s">
        <v>1724</v>
      </c>
    </row>
    <row r="5" spans="1:11" ht="42" customHeight="1">
      <c r="A5" s="17" t="s">
        <v>1727</v>
      </c>
      <c r="B5" s="18" t="s">
        <v>612</v>
      </c>
      <c r="C5" s="18" t="s">
        <v>627</v>
      </c>
      <c r="D5" s="19" t="s">
        <v>44</v>
      </c>
      <c r="E5" s="17" t="s">
        <v>47</v>
      </c>
      <c r="F5" s="18" t="s">
        <v>628</v>
      </c>
      <c r="G5" s="18" t="s">
        <v>629</v>
      </c>
      <c r="H5" s="18" t="s">
        <v>630</v>
      </c>
      <c r="I5" s="18"/>
      <c r="J5" s="16" t="s">
        <v>51</v>
      </c>
      <c r="K5" s="18" t="s">
        <v>631</v>
      </c>
    </row>
    <row r="6" spans="1:11" ht="69.75" customHeight="1">
      <c r="A6" s="13" t="s">
        <v>1728</v>
      </c>
      <c r="B6" s="14" t="s">
        <v>612</v>
      </c>
      <c r="C6" s="14" t="s">
        <v>633</v>
      </c>
      <c r="D6" s="15" t="s">
        <v>43</v>
      </c>
      <c r="E6" s="13" t="s">
        <v>46</v>
      </c>
      <c r="F6" s="14" t="s">
        <v>634</v>
      </c>
      <c r="G6" s="14" t="s">
        <v>1729</v>
      </c>
      <c r="H6" s="14" t="s">
        <v>636</v>
      </c>
      <c r="I6" s="14"/>
      <c r="J6" s="16" t="s">
        <v>51</v>
      </c>
      <c r="K6" s="14" t="s">
        <v>1724</v>
      </c>
    </row>
    <row r="7" spans="1:11" ht="55.5" customHeight="1">
      <c r="A7" s="17" t="s">
        <v>1730</v>
      </c>
      <c r="B7" s="18" t="s">
        <v>612</v>
      </c>
      <c r="C7" s="18" t="s">
        <v>638</v>
      </c>
      <c r="D7" s="19" t="s">
        <v>44</v>
      </c>
      <c r="E7" s="17" t="s">
        <v>46</v>
      </c>
      <c r="F7" s="18" t="s">
        <v>639</v>
      </c>
      <c r="G7" s="18" t="s">
        <v>640</v>
      </c>
      <c r="H7" s="18" t="s">
        <v>641</v>
      </c>
      <c r="I7" s="18"/>
      <c r="J7" s="16" t="s">
        <v>51</v>
      </c>
      <c r="K7" s="18" t="s">
        <v>1724</v>
      </c>
    </row>
    <row r="8" spans="1:11" ht="55.5" customHeight="1">
      <c r="A8" s="17" t="s">
        <v>1731</v>
      </c>
      <c r="B8" s="18" t="s">
        <v>612</v>
      </c>
      <c r="C8" s="18" t="s">
        <v>643</v>
      </c>
      <c r="D8" s="19" t="s">
        <v>44</v>
      </c>
      <c r="E8" s="17" t="s">
        <v>46</v>
      </c>
      <c r="F8" s="18" t="s">
        <v>644</v>
      </c>
      <c r="G8" s="18" t="s">
        <v>645</v>
      </c>
      <c r="H8" s="18" t="s">
        <v>646</v>
      </c>
      <c r="I8" s="18"/>
      <c r="J8" s="16" t="s">
        <v>51</v>
      </c>
      <c r="K8" s="18" t="s">
        <v>631</v>
      </c>
    </row>
    <row r="9" spans="1:11" ht="55.5" customHeight="1">
      <c r="A9" s="17" t="s">
        <v>1732</v>
      </c>
      <c r="B9" s="18" t="s">
        <v>612</v>
      </c>
      <c r="C9" s="18" t="s">
        <v>648</v>
      </c>
      <c r="D9" s="19" t="s">
        <v>44</v>
      </c>
      <c r="E9" s="17" t="s">
        <v>47</v>
      </c>
      <c r="F9" s="18" t="s">
        <v>649</v>
      </c>
      <c r="G9" s="18" t="s">
        <v>650</v>
      </c>
      <c r="H9" s="18" t="s">
        <v>651</v>
      </c>
      <c r="I9" s="18"/>
      <c r="J9" s="16" t="s">
        <v>51</v>
      </c>
      <c r="K9" s="18" t="s">
        <v>631</v>
      </c>
    </row>
    <row r="10" spans="1:11" ht="69.75" customHeight="1">
      <c r="A10" s="13" t="s">
        <v>1733</v>
      </c>
      <c r="B10" s="14" t="s">
        <v>612</v>
      </c>
      <c r="C10" s="14" t="s">
        <v>653</v>
      </c>
      <c r="D10" s="15" t="s">
        <v>43</v>
      </c>
      <c r="E10" s="13" t="s">
        <v>46</v>
      </c>
      <c r="F10" s="14" t="s">
        <v>654</v>
      </c>
      <c r="G10" s="14" t="s">
        <v>1734</v>
      </c>
      <c r="H10" s="14" t="s">
        <v>656</v>
      </c>
      <c r="I10" s="14"/>
      <c r="J10" s="16" t="s">
        <v>51</v>
      </c>
      <c r="K10" s="14"/>
    </row>
    <row r="11" spans="1:11" ht="42" customHeight="1">
      <c r="A11" s="17" t="s">
        <v>1735</v>
      </c>
      <c r="B11" s="18" t="s">
        <v>612</v>
      </c>
      <c r="C11" s="18" t="s">
        <v>658</v>
      </c>
      <c r="D11" s="19" t="s">
        <v>44</v>
      </c>
      <c r="E11" s="17" t="s">
        <v>46</v>
      </c>
      <c r="F11" s="18" t="s">
        <v>659</v>
      </c>
      <c r="G11" s="18" t="s">
        <v>660</v>
      </c>
      <c r="H11" s="18" t="s">
        <v>661</v>
      </c>
      <c r="I11" s="18"/>
      <c r="J11" s="16" t="s">
        <v>51</v>
      </c>
      <c r="K11" s="18"/>
    </row>
    <row r="12" spans="1:11" ht="55.5" customHeight="1">
      <c r="A12" s="17" t="s">
        <v>1736</v>
      </c>
      <c r="B12" s="18" t="s">
        <v>612</v>
      </c>
      <c r="C12" s="18" t="s">
        <v>663</v>
      </c>
      <c r="D12" s="19" t="s">
        <v>44</v>
      </c>
      <c r="E12" s="17" t="s">
        <v>46</v>
      </c>
      <c r="F12" s="18" t="s">
        <v>1737</v>
      </c>
      <c r="G12" s="18" t="s">
        <v>1738</v>
      </c>
      <c r="H12" s="18" t="s">
        <v>666</v>
      </c>
      <c r="I12" s="18"/>
      <c r="J12" s="16" t="s">
        <v>51</v>
      </c>
      <c r="K12" s="18" t="s">
        <v>631</v>
      </c>
    </row>
    <row r="13" spans="1:11" ht="55.5" customHeight="1">
      <c r="A13" s="17" t="s">
        <v>1739</v>
      </c>
      <c r="B13" s="18" t="s">
        <v>612</v>
      </c>
      <c r="C13" s="18" t="s">
        <v>668</v>
      </c>
      <c r="D13" s="19" t="s">
        <v>44</v>
      </c>
      <c r="E13" s="17" t="s">
        <v>47</v>
      </c>
      <c r="F13" s="18" t="s">
        <v>669</v>
      </c>
      <c r="G13" s="18" t="s">
        <v>670</v>
      </c>
      <c r="H13" s="18" t="s">
        <v>651</v>
      </c>
      <c r="I13" s="18"/>
      <c r="J13" s="16" t="s">
        <v>51</v>
      </c>
      <c r="K13" s="18" t="s">
        <v>631</v>
      </c>
    </row>
    <row r="14" spans="1:11" ht="55.5" customHeight="1">
      <c r="A14" s="13" t="s">
        <v>1740</v>
      </c>
      <c r="B14" s="14" t="s">
        <v>612</v>
      </c>
      <c r="C14" s="14" t="s">
        <v>672</v>
      </c>
      <c r="D14" s="15" t="s">
        <v>43</v>
      </c>
      <c r="E14" s="13" t="s">
        <v>46</v>
      </c>
      <c r="F14" s="14" t="s">
        <v>673</v>
      </c>
      <c r="G14" s="14" t="s">
        <v>1741</v>
      </c>
      <c r="H14" s="14" t="s">
        <v>675</v>
      </c>
      <c r="I14" s="14"/>
      <c r="J14" s="16" t="s">
        <v>51</v>
      </c>
      <c r="K14" s="14"/>
    </row>
    <row r="15" spans="1:11" ht="42" customHeight="1">
      <c r="A15" s="17" t="s">
        <v>1742</v>
      </c>
      <c r="B15" s="18" t="s">
        <v>612</v>
      </c>
      <c r="C15" s="18" t="s">
        <v>677</v>
      </c>
      <c r="D15" s="19" t="s">
        <v>44</v>
      </c>
      <c r="E15" s="17" t="s">
        <v>46</v>
      </c>
      <c r="F15" s="18" t="s">
        <v>678</v>
      </c>
      <c r="G15" s="18" t="s">
        <v>679</v>
      </c>
      <c r="H15" s="18" t="s">
        <v>680</v>
      </c>
      <c r="I15" s="18"/>
      <c r="J15" s="16" t="s">
        <v>51</v>
      </c>
      <c r="K15" s="18"/>
    </row>
    <row r="16" spans="1:11" ht="42" customHeight="1">
      <c r="A16" s="17" t="s">
        <v>1743</v>
      </c>
      <c r="B16" s="18" t="s">
        <v>612</v>
      </c>
      <c r="C16" s="18" t="s">
        <v>682</v>
      </c>
      <c r="D16" s="19" t="s">
        <v>44</v>
      </c>
      <c r="E16" s="17" t="s">
        <v>46</v>
      </c>
      <c r="F16" s="18" t="s">
        <v>683</v>
      </c>
      <c r="G16" s="18" t="s">
        <v>684</v>
      </c>
      <c r="H16" s="18" t="s">
        <v>156</v>
      </c>
      <c r="I16" s="18"/>
      <c r="J16" s="16" t="s">
        <v>51</v>
      </c>
      <c r="K16" s="18"/>
    </row>
    <row r="17" spans="1:11" ht="42" customHeight="1">
      <c r="A17" s="17" t="s">
        <v>1744</v>
      </c>
      <c r="B17" s="18" t="s">
        <v>612</v>
      </c>
      <c r="C17" s="18" t="s">
        <v>686</v>
      </c>
      <c r="D17" s="19" t="s">
        <v>44</v>
      </c>
      <c r="E17" s="17" t="s">
        <v>47</v>
      </c>
      <c r="F17" s="18" t="s">
        <v>687</v>
      </c>
      <c r="G17" s="18" t="s">
        <v>688</v>
      </c>
      <c r="H17" s="18" t="s">
        <v>630</v>
      </c>
      <c r="I17" s="18"/>
      <c r="J17" s="16" t="s">
        <v>51</v>
      </c>
      <c r="K17" s="18" t="s">
        <v>631</v>
      </c>
    </row>
    <row r="18" spans="1:11" ht="55.5" customHeight="1">
      <c r="A18" s="13" t="s">
        <v>1745</v>
      </c>
      <c r="B18" s="14" t="s">
        <v>612</v>
      </c>
      <c r="C18" s="14" t="s">
        <v>690</v>
      </c>
      <c r="D18" s="15" t="s">
        <v>43</v>
      </c>
      <c r="E18" s="13" t="s">
        <v>46</v>
      </c>
      <c r="F18" s="14" t="s">
        <v>691</v>
      </c>
      <c r="G18" s="14" t="s">
        <v>1746</v>
      </c>
      <c r="H18" s="14" t="s">
        <v>693</v>
      </c>
      <c r="I18" s="14"/>
      <c r="J18" s="16" t="s">
        <v>51</v>
      </c>
      <c r="K18" s="14"/>
    </row>
    <row r="19" spans="1:11" ht="42" customHeight="1">
      <c r="A19" s="17" t="s">
        <v>1747</v>
      </c>
      <c r="B19" s="18" t="s">
        <v>612</v>
      </c>
      <c r="C19" s="18" t="s">
        <v>695</v>
      </c>
      <c r="D19" s="19" t="s">
        <v>44</v>
      </c>
      <c r="E19" s="17" t="s">
        <v>46</v>
      </c>
      <c r="F19" s="18" t="s">
        <v>696</v>
      </c>
      <c r="G19" s="18" t="s">
        <v>697</v>
      </c>
      <c r="H19" s="18" t="s">
        <v>156</v>
      </c>
      <c r="I19" s="18"/>
      <c r="J19" s="16" t="s">
        <v>51</v>
      </c>
      <c r="K19" s="18"/>
    </row>
    <row r="20" spans="1:11" ht="42" customHeight="1">
      <c r="A20" s="17" t="s">
        <v>1748</v>
      </c>
      <c r="B20" s="18" t="s">
        <v>612</v>
      </c>
      <c r="C20" s="18" t="s">
        <v>699</v>
      </c>
      <c r="D20" s="19" t="s">
        <v>44</v>
      </c>
      <c r="E20" s="17" t="s">
        <v>47</v>
      </c>
      <c r="F20" s="18" t="s">
        <v>700</v>
      </c>
      <c r="G20" s="18" t="s">
        <v>701</v>
      </c>
      <c r="H20" s="18" t="s">
        <v>630</v>
      </c>
      <c r="I20" s="18"/>
      <c r="J20" s="16" t="s">
        <v>51</v>
      </c>
      <c r="K20" s="18" t="s">
        <v>631</v>
      </c>
    </row>
    <row r="21" spans="1:11" ht="42" customHeight="1">
      <c r="A21" s="13" t="s">
        <v>1749</v>
      </c>
      <c r="B21" s="14" t="s">
        <v>612</v>
      </c>
      <c r="C21" s="14" t="s">
        <v>703</v>
      </c>
      <c r="D21" s="15" t="s">
        <v>43</v>
      </c>
      <c r="E21" s="13" t="s">
        <v>46</v>
      </c>
      <c r="F21" s="14" t="s">
        <v>704</v>
      </c>
      <c r="G21" s="14" t="s">
        <v>705</v>
      </c>
      <c r="H21" s="14" t="s">
        <v>706</v>
      </c>
      <c r="I21" s="14"/>
      <c r="J21" s="16" t="s">
        <v>51</v>
      </c>
      <c r="K21" s="14"/>
    </row>
    <row r="22" spans="1:11" ht="27.75" customHeight="1">
      <c r="A22" s="17" t="s">
        <v>1750</v>
      </c>
      <c r="B22" s="18" t="s">
        <v>612</v>
      </c>
      <c r="C22" s="18" t="s">
        <v>708</v>
      </c>
      <c r="D22" s="19" t="s">
        <v>44</v>
      </c>
      <c r="E22" s="17" t="s">
        <v>46</v>
      </c>
      <c r="F22" s="18" t="s">
        <v>709</v>
      </c>
      <c r="G22" s="18" t="s">
        <v>710</v>
      </c>
      <c r="H22" s="18" t="s">
        <v>711</v>
      </c>
      <c r="I22" s="18"/>
      <c r="J22" s="16" t="s">
        <v>51</v>
      </c>
      <c r="K22" s="18"/>
    </row>
    <row r="23" spans="1:11" ht="42" customHeight="1">
      <c r="A23" s="17" t="s">
        <v>1751</v>
      </c>
      <c r="B23" s="18" t="s">
        <v>612</v>
      </c>
      <c r="C23" s="18" t="s">
        <v>713</v>
      </c>
      <c r="D23" s="19" t="s">
        <v>44</v>
      </c>
      <c r="E23" s="17" t="s">
        <v>46</v>
      </c>
      <c r="F23" s="18" t="s">
        <v>714</v>
      </c>
      <c r="G23" s="18" t="s">
        <v>715</v>
      </c>
      <c r="H23" s="18" t="s">
        <v>156</v>
      </c>
      <c r="I23" s="18"/>
      <c r="J23" s="16" t="s">
        <v>51</v>
      </c>
      <c r="K23" s="18"/>
    </row>
    <row r="24" spans="1:11" ht="42" customHeight="1">
      <c r="A24" s="17" t="s">
        <v>1752</v>
      </c>
      <c r="B24" s="18" t="s">
        <v>612</v>
      </c>
      <c r="C24" s="18" t="s">
        <v>717</v>
      </c>
      <c r="D24" s="19" t="s">
        <v>44</v>
      </c>
      <c r="E24" s="17" t="s">
        <v>47</v>
      </c>
      <c r="F24" s="18" t="s">
        <v>718</v>
      </c>
      <c r="G24" s="18" t="s">
        <v>719</v>
      </c>
      <c r="H24" s="18" t="s">
        <v>630</v>
      </c>
      <c r="I24" s="18"/>
      <c r="J24" s="16" t="s">
        <v>51</v>
      </c>
      <c r="K24" s="18" t="s">
        <v>631</v>
      </c>
    </row>
    <row r="25" spans="1:11" ht="69.75" customHeight="1">
      <c r="A25" s="13" t="s">
        <v>1753</v>
      </c>
      <c r="B25" s="14" t="s">
        <v>612</v>
      </c>
      <c r="C25" s="14" t="s">
        <v>721</v>
      </c>
      <c r="D25" s="15" t="s">
        <v>43</v>
      </c>
      <c r="E25" s="13" t="s">
        <v>46</v>
      </c>
      <c r="F25" s="14" t="s">
        <v>722</v>
      </c>
      <c r="G25" s="14" t="s">
        <v>1754</v>
      </c>
      <c r="H25" s="14" t="s">
        <v>724</v>
      </c>
      <c r="I25" s="14"/>
      <c r="J25" s="16" t="s">
        <v>51</v>
      </c>
      <c r="K25" s="14"/>
    </row>
    <row r="26" spans="1:11" ht="27.75" customHeight="1">
      <c r="A26" s="17" t="s">
        <v>1755</v>
      </c>
      <c r="B26" s="18" t="s">
        <v>612</v>
      </c>
      <c r="C26" s="18" t="s">
        <v>726</v>
      </c>
      <c r="D26" s="19" t="s">
        <v>44</v>
      </c>
      <c r="E26" s="17" t="s">
        <v>46</v>
      </c>
      <c r="F26" s="18" t="s">
        <v>727</v>
      </c>
      <c r="G26" s="18" t="s">
        <v>728</v>
      </c>
      <c r="H26" s="18" t="s">
        <v>729</v>
      </c>
      <c r="I26" s="18"/>
      <c r="J26" s="16" t="s">
        <v>51</v>
      </c>
      <c r="K26" s="18"/>
    </row>
    <row r="27" spans="1:11" ht="55.5" customHeight="1">
      <c r="A27" s="17" t="s">
        <v>1756</v>
      </c>
      <c r="B27" s="18" t="s">
        <v>612</v>
      </c>
      <c r="C27" s="18" t="s">
        <v>731</v>
      </c>
      <c r="D27" s="19" t="s">
        <v>44</v>
      </c>
      <c r="E27" s="17" t="s">
        <v>46</v>
      </c>
      <c r="F27" s="18" t="s">
        <v>732</v>
      </c>
      <c r="G27" s="18" t="s">
        <v>733</v>
      </c>
      <c r="H27" s="18" t="s">
        <v>734</v>
      </c>
      <c r="I27" s="18"/>
      <c r="J27" s="16" t="s">
        <v>51</v>
      </c>
      <c r="K27" s="18" t="s">
        <v>631</v>
      </c>
    </row>
    <row r="28" spans="1:11" ht="55.5" customHeight="1">
      <c r="A28" s="17" t="s">
        <v>1757</v>
      </c>
      <c r="B28" s="18" t="s">
        <v>612</v>
      </c>
      <c r="C28" s="18" t="s">
        <v>736</v>
      </c>
      <c r="D28" s="19" t="s">
        <v>44</v>
      </c>
      <c r="E28" s="17" t="s">
        <v>47</v>
      </c>
      <c r="F28" s="18" t="s">
        <v>737</v>
      </c>
      <c r="G28" s="18" t="s">
        <v>738</v>
      </c>
      <c r="H28" s="18" t="s">
        <v>651</v>
      </c>
      <c r="I28" s="18"/>
      <c r="J28" s="16" t="s">
        <v>51</v>
      </c>
      <c r="K28" s="18" t="s">
        <v>631</v>
      </c>
    </row>
    <row r="29" spans="1:11" ht="42" customHeight="1">
      <c r="A29" s="13" t="s">
        <v>1758</v>
      </c>
      <c r="B29" s="14" t="s">
        <v>612</v>
      </c>
      <c r="C29" s="14" t="s">
        <v>740</v>
      </c>
      <c r="D29" s="15" t="s">
        <v>43</v>
      </c>
      <c r="E29" s="13" t="s">
        <v>46</v>
      </c>
      <c r="F29" s="14" t="s">
        <v>741</v>
      </c>
      <c r="G29" s="14" t="s">
        <v>742</v>
      </c>
      <c r="H29" s="14" t="s">
        <v>743</v>
      </c>
      <c r="I29" s="14"/>
      <c r="J29" s="16" t="s">
        <v>51</v>
      </c>
      <c r="K29" s="14"/>
    </row>
    <row r="30" spans="1:11" ht="42" customHeight="1">
      <c r="A30" s="17" t="s">
        <v>1759</v>
      </c>
      <c r="B30" s="18" t="s">
        <v>612</v>
      </c>
      <c r="C30" s="18" t="s">
        <v>745</v>
      </c>
      <c r="D30" s="19" t="s">
        <v>44</v>
      </c>
      <c r="E30" s="17" t="s">
        <v>46</v>
      </c>
      <c r="F30" s="18" t="s">
        <v>746</v>
      </c>
      <c r="G30" s="18" t="s">
        <v>747</v>
      </c>
      <c r="H30" s="18" t="s">
        <v>748</v>
      </c>
      <c r="I30" s="18"/>
      <c r="J30" s="16" t="s">
        <v>51</v>
      </c>
      <c r="K30" s="18"/>
    </row>
    <row r="31" spans="1:11" ht="42" customHeight="1">
      <c r="A31" s="13" t="s">
        <v>1760</v>
      </c>
      <c r="B31" s="14" t="s">
        <v>612</v>
      </c>
      <c r="C31" s="14" t="s">
        <v>750</v>
      </c>
      <c r="D31" s="15" t="s">
        <v>43</v>
      </c>
      <c r="E31" s="13" t="s">
        <v>47</v>
      </c>
      <c r="F31" s="14" t="s">
        <v>751</v>
      </c>
      <c r="G31" s="14" t="s">
        <v>752</v>
      </c>
      <c r="H31" s="14" t="s">
        <v>753</v>
      </c>
      <c r="I31" s="14"/>
      <c r="J31" s="16" t="s">
        <v>51</v>
      </c>
      <c r="K31" s="14" t="s">
        <v>631</v>
      </c>
    </row>
    <row r="32" spans="1:11" ht="42" customHeight="1">
      <c r="A32" s="13" t="s">
        <v>1761</v>
      </c>
      <c r="B32" s="14" t="s">
        <v>612</v>
      </c>
      <c r="C32" s="14" t="s">
        <v>755</v>
      </c>
      <c r="D32" s="15" t="s">
        <v>43</v>
      </c>
      <c r="E32" s="13" t="s">
        <v>46</v>
      </c>
      <c r="F32" s="14" t="s">
        <v>756</v>
      </c>
      <c r="G32" s="14" t="s">
        <v>1762</v>
      </c>
      <c r="H32" s="14" t="s">
        <v>758</v>
      </c>
      <c r="I32" s="14"/>
      <c r="J32" s="16" t="s">
        <v>51</v>
      </c>
      <c r="K32" s="14"/>
    </row>
    <row r="33" spans="1:11" ht="27.75" customHeight="1">
      <c r="A33" s="17" t="s">
        <v>1763</v>
      </c>
      <c r="B33" s="18" t="s">
        <v>612</v>
      </c>
      <c r="C33" s="18" t="s">
        <v>760</v>
      </c>
      <c r="D33" s="19" t="s">
        <v>44</v>
      </c>
      <c r="E33" s="17" t="s">
        <v>46</v>
      </c>
      <c r="F33" s="18" t="s">
        <v>761</v>
      </c>
      <c r="G33" s="18" t="s">
        <v>762</v>
      </c>
      <c r="H33" s="18" t="s">
        <v>763</v>
      </c>
      <c r="I33" s="18"/>
      <c r="J33" s="16" t="s">
        <v>51</v>
      </c>
      <c r="K33" s="18"/>
    </row>
    <row r="34" spans="1:11" ht="42" customHeight="1">
      <c r="A34" s="17" t="s">
        <v>1764</v>
      </c>
      <c r="B34" s="18" t="s">
        <v>612</v>
      </c>
      <c r="C34" s="18" t="s">
        <v>765</v>
      </c>
      <c r="D34" s="19" t="s">
        <v>44</v>
      </c>
      <c r="E34" s="17" t="s">
        <v>46</v>
      </c>
      <c r="F34" s="18" t="s">
        <v>766</v>
      </c>
      <c r="G34" s="18" t="s">
        <v>767</v>
      </c>
      <c r="H34" s="18" t="s">
        <v>768</v>
      </c>
      <c r="I34" s="18"/>
      <c r="J34" s="16" t="s">
        <v>51</v>
      </c>
      <c r="K34" s="18"/>
    </row>
    <row r="35" spans="1:11" ht="69.75" customHeight="1">
      <c r="A35" s="13" t="s">
        <v>1765</v>
      </c>
      <c r="B35" s="14" t="s">
        <v>612</v>
      </c>
      <c r="C35" s="14" t="s">
        <v>770</v>
      </c>
      <c r="D35" s="15" t="s">
        <v>43</v>
      </c>
      <c r="E35" s="13" t="s">
        <v>46</v>
      </c>
      <c r="F35" s="14" t="s">
        <v>771</v>
      </c>
      <c r="G35" s="14" t="s">
        <v>1766</v>
      </c>
      <c r="H35" s="14" t="s">
        <v>773</v>
      </c>
      <c r="I35" s="14"/>
      <c r="J35" s="16" t="s">
        <v>51</v>
      </c>
      <c r="K35" s="14"/>
    </row>
    <row r="36" spans="1:11" ht="42" customHeight="1">
      <c r="A36" s="17" t="s">
        <v>1767</v>
      </c>
      <c r="B36" s="18" t="s">
        <v>612</v>
      </c>
      <c r="C36" s="18" t="s">
        <v>775</v>
      </c>
      <c r="D36" s="19" t="s">
        <v>44</v>
      </c>
      <c r="E36" s="17" t="s">
        <v>46</v>
      </c>
      <c r="F36" s="18" t="s">
        <v>776</v>
      </c>
      <c r="G36" s="18" t="s">
        <v>777</v>
      </c>
      <c r="H36" s="18" t="s">
        <v>778</v>
      </c>
      <c r="I36" s="18"/>
      <c r="J36" s="16" t="s">
        <v>51</v>
      </c>
      <c r="K36" s="18"/>
    </row>
    <row r="37" spans="1:11" ht="55.5" customHeight="1">
      <c r="A37" s="17" t="s">
        <v>1768</v>
      </c>
      <c r="B37" s="18" t="s">
        <v>612</v>
      </c>
      <c r="C37" s="18" t="s">
        <v>780</v>
      </c>
      <c r="D37" s="19" t="s">
        <v>44</v>
      </c>
      <c r="E37" s="17" t="s">
        <v>46</v>
      </c>
      <c r="F37" s="18" t="s">
        <v>781</v>
      </c>
      <c r="G37" s="18" t="s">
        <v>782</v>
      </c>
      <c r="H37" s="18" t="s">
        <v>783</v>
      </c>
      <c r="I37" s="18"/>
      <c r="J37" s="16" t="s">
        <v>51</v>
      </c>
      <c r="K37" s="18" t="s">
        <v>631</v>
      </c>
    </row>
    <row r="38" spans="1:11" ht="55.5" customHeight="1">
      <c r="A38" s="17" t="s">
        <v>1769</v>
      </c>
      <c r="B38" s="18" t="s">
        <v>612</v>
      </c>
      <c r="C38" s="18" t="s">
        <v>785</v>
      </c>
      <c r="D38" s="19" t="s">
        <v>44</v>
      </c>
      <c r="E38" s="17" t="s">
        <v>47</v>
      </c>
      <c r="F38" s="18" t="s">
        <v>786</v>
      </c>
      <c r="G38" s="18" t="s">
        <v>787</v>
      </c>
      <c r="H38" s="18" t="s">
        <v>651</v>
      </c>
      <c r="I38" s="18"/>
      <c r="J38" s="16" t="s">
        <v>51</v>
      </c>
      <c r="K38" s="18" t="s">
        <v>631</v>
      </c>
    </row>
    <row r="39" spans="1:11" ht="55.5" customHeight="1">
      <c r="A39" s="13" t="s">
        <v>1770</v>
      </c>
      <c r="B39" s="14" t="s">
        <v>612</v>
      </c>
      <c r="C39" s="14" t="s">
        <v>789</v>
      </c>
      <c r="D39" s="15" t="s">
        <v>43</v>
      </c>
      <c r="E39" s="13" t="s">
        <v>46</v>
      </c>
      <c r="F39" s="14" t="s">
        <v>790</v>
      </c>
      <c r="G39" s="14" t="s">
        <v>1771</v>
      </c>
      <c r="H39" s="14" t="s">
        <v>758</v>
      </c>
      <c r="I39" s="14"/>
      <c r="J39" s="16" t="s">
        <v>51</v>
      </c>
      <c r="K39" s="14"/>
    </row>
    <row r="40" spans="1:11" ht="27.75" customHeight="1">
      <c r="A40" s="17" t="s">
        <v>1772</v>
      </c>
      <c r="B40" s="18" t="s">
        <v>612</v>
      </c>
      <c r="C40" s="18" t="s">
        <v>793</v>
      </c>
      <c r="D40" s="19" t="s">
        <v>44</v>
      </c>
      <c r="E40" s="17" t="s">
        <v>46</v>
      </c>
      <c r="F40" s="18" t="s">
        <v>794</v>
      </c>
      <c r="G40" s="18" t="s">
        <v>795</v>
      </c>
      <c r="H40" s="18" t="s">
        <v>796</v>
      </c>
      <c r="I40" s="18"/>
      <c r="J40" s="16" t="s">
        <v>51</v>
      </c>
      <c r="K40" s="18"/>
    </row>
    <row r="41" spans="1:11" ht="42" customHeight="1">
      <c r="A41" s="17" t="s">
        <v>1773</v>
      </c>
      <c r="B41" s="18" t="s">
        <v>612</v>
      </c>
      <c r="C41" s="18" t="s">
        <v>798</v>
      </c>
      <c r="D41" s="19" t="s">
        <v>44</v>
      </c>
      <c r="E41" s="17" t="s">
        <v>46</v>
      </c>
      <c r="F41" s="18" t="s">
        <v>1774</v>
      </c>
      <c r="G41" s="18" t="s">
        <v>1775</v>
      </c>
      <c r="H41" s="18" t="s">
        <v>801</v>
      </c>
      <c r="I41" s="18"/>
      <c r="J41" s="16" t="s">
        <v>51</v>
      </c>
      <c r="K41" s="18"/>
    </row>
    <row r="42" spans="1:11" ht="42" customHeight="1">
      <c r="A42" s="13" t="s">
        <v>1776</v>
      </c>
      <c r="B42" s="14" t="s">
        <v>612</v>
      </c>
      <c r="C42" s="14" t="s">
        <v>803</v>
      </c>
      <c r="D42" s="15" t="s">
        <v>43</v>
      </c>
      <c r="E42" s="13" t="s">
        <v>46</v>
      </c>
      <c r="F42" s="14" t="s">
        <v>804</v>
      </c>
      <c r="G42" s="14" t="s">
        <v>805</v>
      </c>
      <c r="H42" s="14" t="s">
        <v>743</v>
      </c>
      <c r="I42" s="14"/>
      <c r="J42" s="16" t="s">
        <v>51</v>
      </c>
      <c r="K42" s="14"/>
    </row>
    <row r="43" spans="1:11" ht="42" customHeight="1">
      <c r="A43" s="17" t="s">
        <v>1777</v>
      </c>
      <c r="B43" s="18" t="s">
        <v>612</v>
      </c>
      <c r="C43" s="18" t="s">
        <v>807</v>
      </c>
      <c r="D43" s="19" t="s">
        <v>44</v>
      </c>
      <c r="E43" s="17" t="s">
        <v>46</v>
      </c>
      <c r="F43" s="18" t="s">
        <v>808</v>
      </c>
      <c r="G43" s="18" t="s">
        <v>809</v>
      </c>
      <c r="H43" s="18" t="s">
        <v>810</v>
      </c>
      <c r="I43" s="18"/>
      <c r="J43" s="16" t="s">
        <v>51</v>
      </c>
      <c r="K43" s="18"/>
    </row>
    <row r="44" spans="1:11" ht="42" customHeight="1">
      <c r="A44" s="13" t="s">
        <v>1778</v>
      </c>
      <c r="B44" s="14" t="s">
        <v>612</v>
      </c>
      <c r="C44" s="14" t="s">
        <v>812</v>
      </c>
      <c r="D44" s="15" t="s">
        <v>43</v>
      </c>
      <c r="E44" s="13" t="s">
        <v>47</v>
      </c>
      <c r="F44" s="14" t="s">
        <v>813</v>
      </c>
      <c r="G44" s="14" t="s">
        <v>814</v>
      </c>
      <c r="H44" s="14" t="s">
        <v>753</v>
      </c>
      <c r="I44" s="14"/>
      <c r="J44" s="16" t="s">
        <v>51</v>
      </c>
      <c r="K44" s="14" t="s">
        <v>631</v>
      </c>
    </row>
    <row r="45" spans="1:11" ht="55.5" customHeight="1">
      <c r="A45" s="13" t="s">
        <v>1779</v>
      </c>
      <c r="B45" s="14" t="s">
        <v>612</v>
      </c>
      <c r="C45" s="14" t="s">
        <v>816</v>
      </c>
      <c r="D45" s="15" t="s">
        <v>43</v>
      </c>
      <c r="E45" s="13" t="s">
        <v>46</v>
      </c>
      <c r="F45" s="14" t="s">
        <v>817</v>
      </c>
      <c r="G45" s="14" t="s">
        <v>1780</v>
      </c>
      <c r="H45" s="14" t="s">
        <v>819</v>
      </c>
      <c r="I45" s="14"/>
      <c r="J45" s="16" t="s">
        <v>51</v>
      </c>
      <c r="K45" s="14"/>
    </row>
    <row r="46" spans="1:11" ht="27.75" customHeight="1">
      <c r="A46" s="17" t="s">
        <v>1781</v>
      </c>
      <c r="B46" s="18" t="s">
        <v>612</v>
      </c>
      <c r="C46" s="18" t="s">
        <v>821</v>
      </c>
      <c r="D46" s="19" t="s">
        <v>44</v>
      </c>
      <c r="E46" s="17" t="s">
        <v>46</v>
      </c>
      <c r="F46" s="18" t="s">
        <v>822</v>
      </c>
      <c r="G46" s="18" t="s">
        <v>823</v>
      </c>
      <c r="H46" s="18" t="s">
        <v>824</v>
      </c>
      <c r="I46" s="18"/>
      <c r="J46" s="16" t="s">
        <v>51</v>
      </c>
      <c r="K46" s="18"/>
    </row>
    <row r="47" spans="1:11" ht="42" customHeight="1">
      <c r="A47" s="17" t="s">
        <v>1782</v>
      </c>
      <c r="B47" s="18" t="s">
        <v>612</v>
      </c>
      <c r="C47" s="18" t="s">
        <v>826</v>
      </c>
      <c r="D47" s="19" t="s">
        <v>44</v>
      </c>
      <c r="E47" s="17" t="s">
        <v>46</v>
      </c>
      <c r="F47" s="18" t="s">
        <v>827</v>
      </c>
      <c r="G47" s="18" t="s">
        <v>828</v>
      </c>
      <c r="H47" s="18" t="s">
        <v>829</v>
      </c>
      <c r="I47" s="18"/>
      <c r="J47" s="16" t="s">
        <v>51</v>
      </c>
      <c r="K47" s="18" t="s">
        <v>631</v>
      </c>
    </row>
    <row r="48" spans="1:11" ht="42" customHeight="1">
      <c r="A48" s="17" t="s">
        <v>1783</v>
      </c>
      <c r="B48" s="18" t="s">
        <v>612</v>
      </c>
      <c r="C48" s="18" t="s">
        <v>831</v>
      </c>
      <c r="D48" s="19" t="s">
        <v>44</v>
      </c>
      <c r="E48" s="17" t="s">
        <v>46</v>
      </c>
      <c r="F48" s="18" t="s">
        <v>832</v>
      </c>
      <c r="G48" s="18" t="s">
        <v>833</v>
      </c>
      <c r="H48" s="18" t="s">
        <v>834</v>
      </c>
      <c r="I48" s="18"/>
      <c r="J48" s="16" t="s">
        <v>51</v>
      </c>
      <c r="K48" s="18"/>
    </row>
    <row r="49" spans="1:11" ht="55.5" customHeight="1">
      <c r="A49" s="13" t="s">
        <v>1784</v>
      </c>
      <c r="B49" s="14" t="s">
        <v>612</v>
      </c>
      <c r="C49" s="14" t="s">
        <v>836</v>
      </c>
      <c r="D49" s="15" t="s">
        <v>43</v>
      </c>
      <c r="E49" s="13" t="s">
        <v>46</v>
      </c>
      <c r="F49" s="14" t="s">
        <v>837</v>
      </c>
      <c r="G49" s="14" t="s">
        <v>1785</v>
      </c>
      <c r="H49" s="14" t="s">
        <v>839</v>
      </c>
      <c r="I49" s="14"/>
      <c r="J49" s="16" t="s">
        <v>51</v>
      </c>
      <c r="K49" s="14"/>
    </row>
    <row r="50" spans="1:11" ht="42" customHeight="1">
      <c r="A50" s="17" t="s">
        <v>1786</v>
      </c>
      <c r="B50" s="18" t="s">
        <v>612</v>
      </c>
      <c r="C50" s="18" t="s">
        <v>841</v>
      </c>
      <c r="D50" s="19" t="s">
        <v>44</v>
      </c>
      <c r="E50" s="17" t="s">
        <v>46</v>
      </c>
      <c r="F50" s="18" t="s">
        <v>842</v>
      </c>
      <c r="G50" s="18" t="s">
        <v>843</v>
      </c>
      <c r="H50" s="18" t="s">
        <v>844</v>
      </c>
      <c r="I50" s="18"/>
      <c r="J50" s="16" t="s">
        <v>51</v>
      </c>
      <c r="K50" s="18"/>
    </row>
    <row r="51" spans="1:11" ht="42" customHeight="1">
      <c r="A51" s="17" t="s">
        <v>1787</v>
      </c>
      <c r="B51" s="18" t="s">
        <v>612</v>
      </c>
      <c r="C51" s="18" t="s">
        <v>846</v>
      </c>
      <c r="D51" s="19" t="s">
        <v>44</v>
      </c>
      <c r="E51" s="17" t="s">
        <v>46</v>
      </c>
      <c r="F51" s="18" t="s">
        <v>847</v>
      </c>
      <c r="G51" s="18" t="s">
        <v>848</v>
      </c>
      <c r="H51" s="18" t="s">
        <v>156</v>
      </c>
      <c r="I51" s="18"/>
      <c r="J51" s="16" t="s">
        <v>51</v>
      </c>
      <c r="K51" s="18"/>
    </row>
    <row r="52" spans="1:11" ht="42" customHeight="1">
      <c r="A52" s="17" t="s">
        <v>1788</v>
      </c>
      <c r="B52" s="18" t="s">
        <v>612</v>
      </c>
      <c r="C52" s="18" t="s">
        <v>850</v>
      </c>
      <c r="D52" s="19" t="s">
        <v>44</v>
      </c>
      <c r="E52" s="17" t="s">
        <v>47</v>
      </c>
      <c r="F52" s="18" t="s">
        <v>851</v>
      </c>
      <c r="G52" s="18" t="s">
        <v>852</v>
      </c>
      <c r="H52" s="18" t="s">
        <v>630</v>
      </c>
      <c r="I52" s="18"/>
      <c r="J52" s="16" t="s">
        <v>51</v>
      </c>
      <c r="K52" s="18" t="s">
        <v>631</v>
      </c>
    </row>
    <row r="53" spans="1:11" ht="55.5" customHeight="1">
      <c r="A53" s="13" t="s">
        <v>1789</v>
      </c>
      <c r="B53" s="14" t="s">
        <v>612</v>
      </c>
      <c r="C53" s="14" t="s">
        <v>854</v>
      </c>
      <c r="D53" s="15" t="s">
        <v>43</v>
      </c>
      <c r="E53" s="13" t="s">
        <v>46</v>
      </c>
      <c r="F53" s="14" t="s">
        <v>855</v>
      </c>
      <c r="G53" s="14" t="s">
        <v>856</v>
      </c>
      <c r="H53" s="14" t="s">
        <v>857</v>
      </c>
      <c r="I53" s="14"/>
      <c r="J53" s="16" t="s">
        <v>51</v>
      </c>
      <c r="K53" s="14"/>
    </row>
    <row r="54" spans="1:11" ht="42" customHeight="1">
      <c r="A54" s="17" t="s">
        <v>1790</v>
      </c>
      <c r="B54" s="18" t="s">
        <v>612</v>
      </c>
      <c r="C54" s="18" t="s">
        <v>859</v>
      </c>
      <c r="D54" s="19" t="s">
        <v>44</v>
      </c>
      <c r="E54" s="17" t="s">
        <v>46</v>
      </c>
      <c r="F54" s="18" t="s">
        <v>860</v>
      </c>
      <c r="G54" s="18" t="s">
        <v>861</v>
      </c>
      <c r="H54" s="18" t="s">
        <v>862</v>
      </c>
      <c r="I54" s="18"/>
      <c r="J54" s="16" t="s">
        <v>51</v>
      </c>
      <c r="K54" s="18"/>
    </row>
    <row r="55" spans="1:11" ht="42" customHeight="1">
      <c r="A55" s="17" t="s">
        <v>1791</v>
      </c>
      <c r="B55" s="18" t="s">
        <v>612</v>
      </c>
      <c r="C55" s="18" t="s">
        <v>864</v>
      </c>
      <c r="D55" s="19" t="s">
        <v>44</v>
      </c>
      <c r="E55" s="17" t="s">
        <v>46</v>
      </c>
      <c r="F55" s="18" t="s">
        <v>865</v>
      </c>
      <c r="G55" s="18" t="s">
        <v>866</v>
      </c>
      <c r="H55" s="18" t="s">
        <v>867</v>
      </c>
      <c r="I55" s="18"/>
      <c r="J55" s="16" t="s">
        <v>51</v>
      </c>
      <c r="K55" s="18" t="s">
        <v>631</v>
      </c>
    </row>
    <row r="56" spans="1:11" ht="69.75" customHeight="1">
      <c r="A56" s="17" t="s">
        <v>1792</v>
      </c>
      <c r="B56" s="18" t="s">
        <v>612</v>
      </c>
      <c r="C56" s="18" t="s">
        <v>869</v>
      </c>
      <c r="D56" s="19" t="s">
        <v>44</v>
      </c>
      <c r="E56" s="17" t="s">
        <v>47</v>
      </c>
      <c r="F56" s="18" t="s">
        <v>870</v>
      </c>
      <c r="G56" s="18" t="s">
        <v>871</v>
      </c>
      <c r="H56" s="18" t="s">
        <v>872</v>
      </c>
      <c r="I56" s="18"/>
      <c r="J56" s="16" t="s">
        <v>51</v>
      </c>
      <c r="K56" s="18" t="s">
        <v>631</v>
      </c>
    </row>
    <row r="57" spans="1:11" ht="69.75" customHeight="1">
      <c r="A57" s="17" t="s">
        <v>1793</v>
      </c>
      <c r="B57" s="18" t="s">
        <v>612</v>
      </c>
      <c r="C57" s="18" t="s">
        <v>874</v>
      </c>
      <c r="D57" s="19" t="s">
        <v>44</v>
      </c>
      <c r="E57" s="17" t="s">
        <v>47</v>
      </c>
      <c r="F57" s="18" t="s">
        <v>875</v>
      </c>
      <c r="G57" s="18" t="s">
        <v>876</v>
      </c>
      <c r="H57" s="18" t="s">
        <v>877</v>
      </c>
      <c r="I57" s="18"/>
      <c r="J57" s="16" t="s">
        <v>51</v>
      </c>
      <c r="K57" s="18" t="s">
        <v>631</v>
      </c>
    </row>
    <row r="58" spans="1:11" ht="55.5" customHeight="1">
      <c r="A58" s="13" t="s">
        <v>1794</v>
      </c>
      <c r="B58" s="14" t="s">
        <v>612</v>
      </c>
      <c r="C58" s="14" t="s">
        <v>879</v>
      </c>
      <c r="D58" s="15" t="s">
        <v>43</v>
      </c>
      <c r="E58" s="13" t="s">
        <v>46</v>
      </c>
      <c r="F58" s="14" t="s">
        <v>880</v>
      </c>
      <c r="G58" s="14" t="s">
        <v>881</v>
      </c>
      <c r="H58" s="14" t="s">
        <v>857</v>
      </c>
      <c r="I58" s="14"/>
      <c r="J58" s="16" t="s">
        <v>51</v>
      </c>
      <c r="K58" s="14"/>
    </row>
    <row r="59" spans="1:11" ht="42" customHeight="1">
      <c r="A59" s="17" t="s">
        <v>1795</v>
      </c>
      <c r="B59" s="18" t="s">
        <v>612</v>
      </c>
      <c r="C59" s="18" t="s">
        <v>883</v>
      </c>
      <c r="D59" s="19" t="s">
        <v>44</v>
      </c>
      <c r="E59" s="17" t="s">
        <v>46</v>
      </c>
      <c r="F59" s="18" t="s">
        <v>884</v>
      </c>
      <c r="G59" s="18" t="s">
        <v>885</v>
      </c>
      <c r="H59" s="18" t="s">
        <v>886</v>
      </c>
      <c r="I59" s="18"/>
      <c r="J59" s="16" t="s">
        <v>51</v>
      </c>
      <c r="K59" s="18"/>
    </row>
    <row r="60" spans="1:11" ht="42" customHeight="1">
      <c r="A60" s="17" t="s">
        <v>1796</v>
      </c>
      <c r="B60" s="18" t="s">
        <v>612</v>
      </c>
      <c r="C60" s="18" t="s">
        <v>888</v>
      </c>
      <c r="D60" s="19" t="s">
        <v>44</v>
      </c>
      <c r="E60" s="17" t="s">
        <v>46</v>
      </c>
      <c r="F60" s="18" t="s">
        <v>889</v>
      </c>
      <c r="G60" s="18" t="s">
        <v>890</v>
      </c>
      <c r="H60" s="18" t="s">
        <v>867</v>
      </c>
      <c r="I60" s="18"/>
      <c r="J60" s="16" t="s">
        <v>51</v>
      </c>
      <c r="K60" s="18" t="s">
        <v>631</v>
      </c>
    </row>
    <row r="61" spans="1:11" ht="69.75" customHeight="1">
      <c r="A61" s="17" t="s">
        <v>1797</v>
      </c>
      <c r="B61" s="18" t="s">
        <v>612</v>
      </c>
      <c r="C61" s="18" t="s">
        <v>892</v>
      </c>
      <c r="D61" s="19" t="s">
        <v>44</v>
      </c>
      <c r="E61" s="17" t="s">
        <v>47</v>
      </c>
      <c r="F61" s="18" t="s">
        <v>893</v>
      </c>
      <c r="G61" s="18" t="s">
        <v>894</v>
      </c>
      <c r="H61" s="18" t="s">
        <v>872</v>
      </c>
      <c r="I61" s="18"/>
      <c r="J61" s="16" t="s">
        <v>51</v>
      </c>
      <c r="K61" s="18" t="s">
        <v>631</v>
      </c>
    </row>
    <row r="62" spans="1:11" ht="84" customHeight="1">
      <c r="A62" s="17" t="s">
        <v>1798</v>
      </c>
      <c r="B62" s="18" t="s">
        <v>612</v>
      </c>
      <c r="C62" s="18" t="s">
        <v>896</v>
      </c>
      <c r="D62" s="19" t="s">
        <v>44</v>
      </c>
      <c r="E62" s="17" t="s">
        <v>47</v>
      </c>
      <c r="F62" s="18" t="s">
        <v>897</v>
      </c>
      <c r="G62" s="18" t="s">
        <v>898</v>
      </c>
      <c r="H62" s="18" t="s">
        <v>877</v>
      </c>
      <c r="I62" s="18"/>
      <c r="J62" s="16" t="s">
        <v>51</v>
      </c>
      <c r="K62" s="18" t="s">
        <v>631</v>
      </c>
    </row>
    <row r="63" spans="1:11" ht="55.5" customHeight="1">
      <c r="A63" s="13" t="s">
        <v>1799</v>
      </c>
      <c r="B63" s="14" t="s">
        <v>612</v>
      </c>
      <c r="C63" s="14" t="s">
        <v>900</v>
      </c>
      <c r="D63" s="15" t="s">
        <v>43</v>
      </c>
      <c r="E63" s="13" t="s">
        <v>46</v>
      </c>
      <c r="F63" s="14" t="s">
        <v>901</v>
      </c>
      <c r="G63" s="14" t="s">
        <v>902</v>
      </c>
      <c r="H63" s="14" t="s">
        <v>857</v>
      </c>
      <c r="I63" s="14"/>
      <c r="J63" s="16" t="s">
        <v>51</v>
      </c>
      <c r="K63" s="14"/>
    </row>
    <row r="64" spans="1:11" ht="42" customHeight="1">
      <c r="A64" s="17" t="s">
        <v>1800</v>
      </c>
      <c r="B64" s="18" t="s">
        <v>612</v>
      </c>
      <c r="C64" s="18" t="s">
        <v>904</v>
      </c>
      <c r="D64" s="19" t="s">
        <v>44</v>
      </c>
      <c r="E64" s="17" t="s">
        <v>46</v>
      </c>
      <c r="F64" s="18" t="s">
        <v>905</v>
      </c>
      <c r="G64" s="18" t="s">
        <v>906</v>
      </c>
      <c r="H64" s="18" t="s">
        <v>907</v>
      </c>
      <c r="I64" s="18"/>
      <c r="J64" s="16" t="s">
        <v>51</v>
      </c>
      <c r="K64" s="18"/>
    </row>
    <row r="65" spans="1:11" ht="42" customHeight="1">
      <c r="A65" s="17" t="s">
        <v>1801</v>
      </c>
      <c r="B65" s="18" t="s">
        <v>612</v>
      </c>
      <c r="C65" s="18" t="s">
        <v>909</v>
      </c>
      <c r="D65" s="19" t="s">
        <v>44</v>
      </c>
      <c r="E65" s="17" t="s">
        <v>46</v>
      </c>
      <c r="F65" s="18" t="s">
        <v>910</v>
      </c>
      <c r="G65" s="18" t="s">
        <v>911</v>
      </c>
      <c r="H65" s="18" t="s">
        <v>867</v>
      </c>
      <c r="I65" s="18"/>
      <c r="J65" s="16" t="s">
        <v>51</v>
      </c>
      <c r="K65" s="18" t="s">
        <v>631</v>
      </c>
    </row>
    <row r="66" spans="1:11" ht="69.75" customHeight="1">
      <c r="A66" s="17" t="s">
        <v>1802</v>
      </c>
      <c r="B66" s="18" t="s">
        <v>612</v>
      </c>
      <c r="C66" s="18" t="s">
        <v>913</v>
      </c>
      <c r="D66" s="19" t="s">
        <v>44</v>
      </c>
      <c r="E66" s="17" t="s">
        <v>47</v>
      </c>
      <c r="F66" s="18" t="s">
        <v>914</v>
      </c>
      <c r="G66" s="18" t="s">
        <v>915</v>
      </c>
      <c r="H66" s="18" t="s">
        <v>872</v>
      </c>
      <c r="I66" s="18"/>
      <c r="J66" s="16" t="s">
        <v>51</v>
      </c>
      <c r="K66" s="18" t="s">
        <v>631</v>
      </c>
    </row>
    <row r="67" spans="1:11" ht="84" customHeight="1">
      <c r="A67" s="17" t="s">
        <v>1803</v>
      </c>
      <c r="B67" s="18" t="s">
        <v>612</v>
      </c>
      <c r="C67" s="18" t="s">
        <v>917</v>
      </c>
      <c r="D67" s="19" t="s">
        <v>44</v>
      </c>
      <c r="E67" s="17" t="s">
        <v>47</v>
      </c>
      <c r="F67" s="18" t="s">
        <v>918</v>
      </c>
      <c r="G67" s="18" t="s">
        <v>919</v>
      </c>
      <c r="H67" s="18" t="s">
        <v>877</v>
      </c>
      <c r="I67" s="18"/>
      <c r="J67" s="16" t="s">
        <v>51</v>
      </c>
      <c r="K67" s="18" t="s">
        <v>631</v>
      </c>
    </row>
    <row r="68" spans="1:11" ht="55.5" customHeight="1">
      <c r="A68" s="13" t="s">
        <v>1804</v>
      </c>
      <c r="B68" s="14" t="s">
        <v>612</v>
      </c>
      <c r="C68" s="14" t="s">
        <v>921</v>
      </c>
      <c r="D68" s="15" t="s">
        <v>43</v>
      </c>
      <c r="E68" s="13" t="s">
        <v>46</v>
      </c>
      <c r="F68" s="14" t="s">
        <v>922</v>
      </c>
      <c r="G68" s="14" t="s">
        <v>923</v>
      </c>
      <c r="H68" s="14" t="s">
        <v>857</v>
      </c>
      <c r="I68" s="14"/>
      <c r="J68" s="16" t="s">
        <v>51</v>
      </c>
      <c r="K68" s="14"/>
    </row>
    <row r="69" spans="1:11" ht="42" customHeight="1">
      <c r="A69" s="17" t="s">
        <v>1805</v>
      </c>
      <c r="B69" s="18" t="s">
        <v>612</v>
      </c>
      <c r="C69" s="18" t="s">
        <v>925</v>
      </c>
      <c r="D69" s="19" t="s">
        <v>44</v>
      </c>
      <c r="E69" s="17" t="s">
        <v>46</v>
      </c>
      <c r="F69" s="18" t="s">
        <v>926</v>
      </c>
      <c r="G69" s="18" t="s">
        <v>927</v>
      </c>
      <c r="H69" s="18" t="s">
        <v>928</v>
      </c>
      <c r="I69" s="18"/>
      <c r="J69" s="16" t="s">
        <v>51</v>
      </c>
      <c r="K69" s="18"/>
    </row>
    <row r="70" spans="1:11" ht="42" customHeight="1">
      <c r="A70" s="17" t="s">
        <v>1806</v>
      </c>
      <c r="B70" s="18" t="s">
        <v>612</v>
      </c>
      <c r="C70" s="18" t="s">
        <v>930</v>
      </c>
      <c r="D70" s="19" t="s">
        <v>44</v>
      </c>
      <c r="E70" s="17" t="s">
        <v>46</v>
      </c>
      <c r="F70" s="18" t="s">
        <v>931</v>
      </c>
      <c r="G70" s="18" t="s">
        <v>932</v>
      </c>
      <c r="H70" s="18" t="s">
        <v>867</v>
      </c>
      <c r="I70" s="18"/>
      <c r="J70" s="16" t="s">
        <v>51</v>
      </c>
      <c r="K70" s="18" t="s">
        <v>631</v>
      </c>
    </row>
    <row r="71" spans="1:11" ht="69.75" customHeight="1">
      <c r="A71" s="17" t="s">
        <v>1807</v>
      </c>
      <c r="B71" s="18" t="s">
        <v>612</v>
      </c>
      <c r="C71" s="18" t="s">
        <v>934</v>
      </c>
      <c r="D71" s="19" t="s">
        <v>44</v>
      </c>
      <c r="E71" s="17" t="s">
        <v>47</v>
      </c>
      <c r="F71" s="18" t="s">
        <v>935</v>
      </c>
      <c r="G71" s="18" t="s">
        <v>936</v>
      </c>
      <c r="H71" s="18" t="s">
        <v>872</v>
      </c>
      <c r="I71" s="18"/>
      <c r="J71" s="16" t="s">
        <v>51</v>
      </c>
      <c r="K71" s="18" t="s">
        <v>631</v>
      </c>
    </row>
    <row r="72" spans="1:11" ht="69.75" customHeight="1">
      <c r="A72" s="17" t="s">
        <v>1808</v>
      </c>
      <c r="B72" s="18" t="s">
        <v>612</v>
      </c>
      <c r="C72" s="18" t="s">
        <v>938</v>
      </c>
      <c r="D72" s="19" t="s">
        <v>44</v>
      </c>
      <c r="E72" s="17" t="s">
        <v>47</v>
      </c>
      <c r="F72" s="18" t="s">
        <v>939</v>
      </c>
      <c r="G72" s="18" t="s">
        <v>940</v>
      </c>
      <c r="H72" s="18" t="s">
        <v>877</v>
      </c>
      <c r="I72" s="18"/>
      <c r="J72" s="16" t="s">
        <v>51</v>
      </c>
      <c r="K72" s="18" t="s">
        <v>631</v>
      </c>
    </row>
    <row r="73" spans="1:11" ht="55.5" customHeight="1">
      <c r="A73" s="13" t="s">
        <v>1809</v>
      </c>
      <c r="B73" s="14" t="s">
        <v>612</v>
      </c>
      <c r="C73" s="14" t="s">
        <v>942</v>
      </c>
      <c r="D73" s="15" t="s">
        <v>43</v>
      </c>
      <c r="E73" s="13" t="s">
        <v>46</v>
      </c>
      <c r="F73" s="14" t="s">
        <v>943</v>
      </c>
      <c r="G73" s="14" t="s">
        <v>944</v>
      </c>
      <c r="H73" s="14" t="s">
        <v>857</v>
      </c>
      <c r="I73" s="14"/>
      <c r="J73" s="16" t="s">
        <v>51</v>
      </c>
      <c r="K73" s="14"/>
    </row>
    <row r="74" spans="1:11" ht="42" customHeight="1">
      <c r="A74" s="17" t="s">
        <v>1810</v>
      </c>
      <c r="B74" s="18" t="s">
        <v>612</v>
      </c>
      <c r="C74" s="18" t="s">
        <v>946</v>
      </c>
      <c r="D74" s="19" t="s">
        <v>44</v>
      </c>
      <c r="E74" s="17" t="s">
        <v>46</v>
      </c>
      <c r="F74" s="18" t="s">
        <v>947</v>
      </c>
      <c r="G74" s="18" t="s">
        <v>948</v>
      </c>
      <c r="H74" s="18" t="s">
        <v>949</v>
      </c>
      <c r="I74" s="18"/>
      <c r="J74" s="16" t="s">
        <v>51</v>
      </c>
      <c r="K74" s="18"/>
    </row>
    <row r="75" spans="1:11" ht="42" customHeight="1">
      <c r="A75" s="17" t="s">
        <v>1811</v>
      </c>
      <c r="B75" s="18" t="s">
        <v>612</v>
      </c>
      <c r="C75" s="18" t="s">
        <v>951</v>
      </c>
      <c r="D75" s="19" t="s">
        <v>44</v>
      </c>
      <c r="E75" s="17" t="s">
        <v>46</v>
      </c>
      <c r="F75" s="18" t="s">
        <v>952</v>
      </c>
      <c r="G75" s="18" t="s">
        <v>953</v>
      </c>
      <c r="H75" s="18" t="s">
        <v>867</v>
      </c>
      <c r="I75" s="18"/>
      <c r="J75" s="16" t="s">
        <v>51</v>
      </c>
      <c r="K75" s="18" t="s">
        <v>631</v>
      </c>
    </row>
    <row r="76" spans="1:11" ht="69.75" customHeight="1">
      <c r="A76" s="17" t="s">
        <v>1812</v>
      </c>
      <c r="B76" s="18" t="s">
        <v>612</v>
      </c>
      <c r="C76" s="18" t="s">
        <v>955</v>
      </c>
      <c r="D76" s="19" t="s">
        <v>44</v>
      </c>
      <c r="E76" s="17" t="s">
        <v>47</v>
      </c>
      <c r="F76" s="18" t="s">
        <v>956</v>
      </c>
      <c r="G76" s="18" t="s">
        <v>957</v>
      </c>
      <c r="H76" s="18" t="s">
        <v>872</v>
      </c>
      <c r="I76" s="18"/>
      <c r="J76" s="16" t="s">
        <v>51</v>
      </c>
      <c r="K76" s="18" t="s">
        <v>631</v>
      </c>
    </row>
    <row r="77" spans="1:11" ht="84" customHeight="1">
      <c r="A77" s="17" t="s">
        <v>1813</v>
      </c>
      <c r="B77" s="18" t="s">
        <v>612</v>
      </c>
      <c r="C77" s="18" t="s">
        <v>959</v>
      </c>
      <c r="D77" s="19" t="s">
        <v>44</v>
      </c>
      <c r="E77" s="17" t="s">
        <v>47</v>
      </c>
      <c r="F77" s="18" t="s">
        <v>960</v>
      </c>
      <c r="G77" s="18" t="s">
        <v>961</v>
      </c>
      <c r="H77" s="18" t="s">
        <v>877</v>
      </c>
      <c r="I77" s="18"/>
      <c r="J77" s="16" t="s">
        <v>51</v>
      </c>
      <c r="K77" s="18" t="s">
        <v>631</v>
      </c>
    </row>
    <row r="78" spans="1:11" ht="69.75" customHeight="1">
      <c r="A78" s="13" t="s">
        <v>1814</v>
      </c>
      <c r="B78" s="14" t="s">
        <v>612</v>
      </c>
      <c r="C78" s="14" t="s">
        <v>1815</v>
      </c>
      <c r="D78" s="15" t="s">
        <v>43</v>
      </c>
      <c r="E78" s="13" t="s">
        <v>45</v>
      </c>
      <c r="F78" s="14" t="s">
        <v>1816</v>
      </c>
      <c r="G78" s="14" t="s">
        <v>1817</v>
      </c>
      <c r="H78" s="14" t="s">
        <v>1818</v>
      </c>
      <c r="I78" s="14"/>
      <c r="J78" s="16" t="s">
        <v>51</v>
      </c>
      <c r="K78" s="14" t="s">
        <v>1819</v>
      </c>
    </row>
    <row r="79" spans="1:11" ht="69.75" customHeight="1">
      <c r="A79" s="13" t="s">
        <v>1820</v>
      </c>
      <c r="B79" s="14" t="s">
        <v>612</v>
      </c>
      <c r="C79" s="14" t="s">
        <v>963</v>
      </c>
      <c r="D79" s="15" t="s">
        <v>43</v>
      </c>
      <c r="E79" s="13" t="s">
        <v>45</v>
      </c>
      <c r="F79" s="14" t="s">
        <v>964</v>
      </c>
      <c r="G79" s="14" t="s">
        <v>1821</v>
      </c>
      <c r="H79" s="14" t="s">
        <v>966</v>
      </c>
      <c r="I79" s="14"/>
      <c r="J79" s="16" t="s">
        <v>51</v>
      </c>
      <c r="K79" s="14" t="s">
        <v>1724</v>
      </c>
    </row>
    <row r="80" spans="1:11" ht="27.75" customHeight="1">
      <c r="A80" s="17" t="s">
        <v>1822</v>
      </c>
      <c r="B80" s="18" t="s">
        <v>612</v>
      </c>
      <c r="C80" s="18" t="s">
        <v>968</v>
      </c>
      <c r="D80" s="19" t="s">
        <v>44</v>
      </c>
      <c r="E80" s="17" t="s">
        <v>45</v>
      </c>
      <c r="F80" s="18" t="s">
        <v>969</v>
      </c>
      <c r="G80" s="18" t="s">
        <v>970</v>
      </c>
      <c r="H80" s="18" t="s">
        <v>971</v>
      </c>
      <c r="I80" s="18"/>
      <c r="J80" s="16" t="s">
        <v>51</v>
      </c>
      <c r="K80" s="18"/>
    </row>
    <row r="81" spans="1:11" ht="55.5" customHeight="1">
      <c r="A81" s="17" t="s">
        <v>1823</v>
      </c>
      <c r="B81" s="18" t="s">
        <v>612</v>
      </c>
      <c r="C81" s="18" t="s">
        <v>973</v>
      </c>
      <c r="D81" s="19" t="s">
        <v>44</v>
      </c>
      <c r="E81" s="17" t="s">
        <v>45</v>
      </c>
      <c r="F81" s="18" t="s">
        <v>974</v>
      </c>
      <c r="G81" s="18" t="s">
        <v>975</v>
      </c>
      <c r="H81" s="18" t="s">
        <v>976</v>
      </c>
      <c r="I81" s="18"/>
      <c r="J81" s="16" t="s">
        <v>51</v>
      </c>
      <c r="K81" s="18"/>
    </row>
    <row r="82" spans="1:11" ht="42" customHeight="1">
      <c r="A82" s="17" t="s">
        <v>1824</v>
      </c>
      <c r="B82" s="18" t="s">
        <v>612</v>
      </c>
      <c r="C82" s="18" t="s">
        <v>978</v>
      </c>
      <c r="D82" s="19" t="s">
        <v>44</v>
      </c>
      <c r="E82" s="17" t="s">
        <v>46</v>
      </c>
      <c r="F82" s="18" t="s">
        <v>979</v>
      </c>
      <c r="G82" s="18" t="s">
        <v>980</v>
      </c>
      <c r="H82" s="18" t="s">
        <v>981</v>
      </c>
      <c r="I82" s="18"/>
      <c r="J82" s="16" t="s">
        <v>51</v>
      </c>
      <c r="K82" s="18"/>
    </row>
    <row r="83" spans="1:11" ht="27.75" customHeight="1">
      <c r="A83" s="17" t="s">
        <v>1825</v>
      </c>
      <c r="B83" s="18" t="s">
        <v>612</v>
      </c>
      <c r="C83" s="18" t="s">
        <v>983</v>
      </c>
      <c r="D83" s="19" t="s">
        <v>44</v>
      </c>
      <c r="E83" s="17" t="s">
        <v>46</v>
      </c>
      <c r="F83" s="18" t="s">
        <v>984</v>
      </c>
      <c r="G83" s="18" t="s">
        <v>1826</v>
      </c>
      <c r="H83" s="18" t="s">
        <v>986</v>
      </c>
      <c r="I83" s="18"/>
      <c r="J83" s="16" t="s">
        <v>51</v>
      </c>
      <c r="K83" s="18"/>
    </row>
    <row r="84" spans="1:11" ht="42" customHeight="1">
      <c r="A84" s="17" t="s">
        <v>1827</v>
      </c>
      <c r="B84" s="18" t="s">
        <v>612</v>
      </c>
      <c r="C84" s="18" t="s">
        <v>988</v>
      </c>
      <c r="D84" s="19" t="s">
        <v>44</v>
      </c>
      <c r="E84" s="17" t="s">
        <v>46</v>
      </c>
      <c r="F84" s="18" t="s">
        <v>989</v>
      </c>
      <c r="G84" s="18" t="s">
        <v>1828</v>
      </c>
      <c r="H84" s="18" t="s">
        <v>991</v>
      </c>
      <c r="I84" s="18"/>
      <c r="J84" s="16" t="s">
        <v>51</v>
      </c>
      <c r="K84" s="18"/>
    </row>
    <row r="85" spans="1:11" ht="84" customHeight="1">
      <c r="A85" s="13" t="s">
        <v>1829</v>
      </c>
      <c r="B85" s="14" t="s">
        <v>993</v>
      </c>
      <c r="C85" s="14" t="s">
        <v>994</v>
      </c>
      <c r="D85" s="15" t="s">
        <v>43</v>
      </c>
      <c r="E85" s="13" t="s">
        <v>45</v>
      </c>
      <c r="F85" s="14" t="s">
        <v>995</v>
      </c>
      <c r="G85" s="14" t="s">
        <v>1830</v>
      </c>
      <c r="H85" s="14" t="s">
        <v>966</v>
      </c>
      <c r="I85" s="14"/>
      <c r="J85" s="16" t="s">
        <v>51</v>
      </c>
      <c r="K85" s="14" t="s">
        <v>1724</v>
      </c>
    </row>
    <row r="86" spans="1:11" ht="27.75" customHeight="1">
      <c r="A86" s="17" t="s">
        <v>1831</v>
      </c>
      <c r="B86" s="18" t="s">
        <v>993</v>
      </c>
      <c r="C86" s="18" t="s">
        <v>998</v>
      </c>
      <c r="D86" s="19" t="s">
        <v>44</v>
      </c>
      <c r="E86" s="17" t="s">
        <v>45</v>
      </c>
      <c r="F86" s="18" t="s">
        <v>999</v>
      </c>
      <c r="G86" s="18" t="s">
        <v>1000</v>
      </c>
      <c r="H86" s="18" t="s">
        <v>1001</v>
      </c>
      <c r="I86" s="18"/>
      <c r="J86" s="16" t="s">
        <v>51</v>
      </c>
      <c r="K86" s="18"/>
    </row>
    <row r="87" spans="1:11" ht="55.5" customHeight="1">
      <c r="A87" s="17" t="s">
        <v>1832</v>
      </c>
      <c r="B87" s="18" t="s">
        <v>993</v>
      </c>
      <c r="C87" s="18" t="s">
        <v>1003</v>
      </c>
      <c r="D87" s="19" t="s">
        <v>44</v>
      </c>
      <c r="E87" s="17" t="s">
        <v>45</v>
      </c>
      <c r="F87" s="18" t="s">
        <v>1004</v>
      </c>
      <c r="G87" s="18" t="s">
        <v>1005</v>
      </c>
      <c r="H87" s="18" t="s">
        <v>976</v>
      </c>
      <c r="I87" s="18"/>
      <c r="J87" s="16" t="s">
        <v>51</v>
      </c>
      <c r="K87" s="18"/>
    </row>
    <row r="88" spans="1:11" ht="55.5" customHeight="1">
      <c r="A88" s="17" t="s">
        <v>1833</v>
      </c>
      <c r="B88" s="18" t="s">
        <v>993</v>
      </c>
      <c r="C88" s="18" t="s">
        <v>1007</v>
      </c>
      <c r="D88" s="19" t="s">
        <v>44</v>
      </c>
      <c r="E88" s="17" t="s">
        <v>46</v>
      </c>
      <c r="F88" s="18" t="s">
        <v>1008</v>
      </c>
      <c r="G88" s="18" t="s">
        <v>980</v>
      </c>
      <c r="H88" s="18" t="s">
        <v>1009</v>
      </c>
      <c r="I88" s="18"/>
      <c r="J88" s="16" t="s">
        <v>51</v>
      </c>
      <c r="K88" s="18"/>
    </row>
    <row r="89" spans="1:11" ht="42" customHeight="1">
      <c r="A89" s="17" t="s">
        <v>1834</v>
      </c>
      <c r="B89" s="18" t="s">
        <v>993</v>
      </c>
      <c r="C89" s="18" t="s">
        <v>1011</v>
      </c>
      <c r="D89" s="19" t="s">
        <v>44</v>
      </c>
      <c r="E89" s="17" t="s">
        <v>46</v>
      </c>
      <c r="F89" s="18" t="s">
        <v>1012</v>
      </c>
      <c r="G89" s="18" t="s">
        <v>1835</v>
      </c>
      <c r="H89" s="18" t="s">
        <v>986</v>
      </c>
      <c r="I89" s="18"/>
      <c r="J89" s="16" t="s">
        <v>51</v>
      </c>
      <c r="K89" s="18"/>
    </row>
    <row r="90" spans="1:11" ht="42" customHeight="1">
      <c r="A90" s="17" t="s">
        <v>1836</v>
      </c>
      <c r="B90" s="18" t="s">
        <v>993</v>
      </c>
      <c r="C90" s="18" t="s">
        <v>1015</v>
      </c>
      <c r="D90" s="19" t="s">
        <v>44</v>
      </c>
      <c r="E90" s="17" t="s">
        <v>46</v>
      </c>
      <c r="F90" s="18" t="s">
        <v>1016</v>
      </c>
      <c r="G90" s="18" t="s">
        <v>1837</v>
      </c>
      <c r="H90" s="18" t="s">
        <v>991</v>
      </c>
      <c r="I90" s="18"/>
      <c r="J90" s="16" t="s">
        <v>51</v>
      </c>
      <c r="K90" s="18"/>
    </row>
    <row r="91" spans="1:11" ht="42" customHeight="1">
      <c r="A91" s="13" t="s">
        <v>1838</v>
      </c>
      <c r="B91" s="14" t="s">
        <v>993</v>
      </c>
      <c r="C91" s="14" t="s">
        <v>1019</v>
      </c>
      <c r="D91" s="15" t="s">
        <v>43</v>
      </c>
      <c r="E91" s="13" t="s">
        <v>45</v>
      </c>
      <c r="F91" s="14" t="s">
        <v>1020</v>
      </c>
      <c r="G91" s="14" t="s">
        <v>1021</v>
      </c>
      <c r="H91" s="14" t="s">
        <v>1022</v>
      </c>
      <c r="I91" s="14"/>
      <c r="J91" s="16" t="s">
        <v>51</v>
      </c>
      <c r="K91" s="14"/>
    </row>
    <row r="92" spans="1:11" ht="69.75" customHeight="1">
      <c r="A92" s="17" t="s">
        <v>1839</v>
      </c>
      <c r="B92" s="18" t="s">
        <v>993</v>
      </c>
      <c r="C92" s="18" t="s">
        <v>1024</v>
      </c>
      <c r="D92" s="19" t="s">
        <v>44</v>
      </c>
      <c r="E92" s="17" t="s">
        <v>45</v>
      </c>
      <c r="F92" s="18" t="s">
        <v>1025</v>
      </c>
      <c r="G92" s="18" t="s">
        <v>1026</v>
      </c>
      <c r="H92" s="18" t="s">
        <v>1840</v>
      </c>
      <c r="I92" s="18"/>
      <c r="J92" s="16" t="s">
        <v>51</v>
      </c>
      <c r="K92" s="18" t="s">
        <v>1841</v>
      </c>
    </row>
    <row r="93" spans="1:11" ht="42" customHeight="1">
      <c r="A93" s="17" t="s">
        <v>1842</v>
      </c>
      <c r="B93" s="18" t="s">
        <v>993</v>
      </c>
      <c r="C93" s="18" t="s">
        <v>1030</v>
      </c>
      <c r="D93" s="19" t="s">
        <v>44</v>
      </c>
      <c r="E93" s="17" t="s">
        <v>45</v>
      </c>
      <c r="F93" s="18" t="s">
        <v>1031</v>
      </c>
      <c r="G93" s="18" t="s">
        <v>1032</v>
      </c>
      <c r="H93" s="18" t="s">
        <v>1033</v>
      </c>
      <c r="I93" s="18"/>
      <c r="J93" s="16" t="s">
        <v>51</v>
      </c>
      <c r="K93" s="18"/>
    </row>
    <row r="94" spans="1:11" ht="84" customHeight="1">
      <c r="A94" s="13" t="s">
        <v>1843</v>
      </c>
      <c r="B94" s="14" t="s">
        <v>1035</v>
      </c>
      <c r="C94" s="14" t="s">
        <v>1036</v>
      </c>
      <c r="D94" s="15" t="s">
        <v>43</v>
      </c>
      <c r="E94" s="13" t="s">
        <v>45</v>
      </c>
      <c r="F94" s="14" t="s">
        <v>1037</v>
      </c>
      <c r="G94" s="14" t="s">
        <v>1844</v>
      </c>
      <c r="H94" s="14" t="s">
        <v>966</v>
      </c>
      <c r="I94" s="14"/>
      <c r="J94" s="16" t="s">
        <v>51</v>
      </c>
      <c r="K94" s="14" t="s">
        <v>1845</v>
      </c>
    </row>
    <row r="95" spans="1:11" ht="42" customHeight="1">
      <c r="A95" s="17" t="s">
        <v>1846</v>
      </c>
      <c r="B95" s="18" t="s">
        <v>1035</v>
      </c>
      <c r="C95" s="18" t="s">
        <v>1040</v>
      </c>
      <c r="D95" s="19" t="s">
        <v>44</v>
      </c>
      <c r="E95" s="17" t="s">
        <v>45</v>
      </c>
      <c r="F95" s="18" t="s">
        <v>1041</v>
      </c>
      <c r="G95" s="18" t="s">
        <v>1042</v>
      </c>
      <c r="H95" s="18" t="s">
        <v>1043</v>
      </c>
      <c r="I95" s="18"/>
      <c r="J95" s="16" t="s">
        <v>51</v>
      </c>
      <c r="K95" s="18"/>
    </row>
    <row r="96" spans="1:11" ht="55.5" customHeight="1">
      <c r="A96" s="17" t="s">
        <v>1847</v>
      </c>
      <c r="B96" s="18" t="s">
        <v>1035</v>
      </c>
      <c r="C96" s="18" t="s">
        <v>1045</v>
      </c>
      <c r="D96" s="19" t="s">
        <v>44</v>
      </c>
      <c r="E96" s="17" t="s">
        <v>45</v>
      </c>
      <c r="F96" s="18" t="s">
        <v>1046</v>
      </c>
      <c r="G96" s="18" t="s">
        <v>1005</v>
      </c>
      <c r="H96" s="18" t="s">
        <v>976</v>
      </c>
      <c r="I96" s="18"/>
      <c r="J96" s="16" t="s">
        <v>51</v>
      </c>
      <c r="K96" s="18"/>
    </row>
    <row r="97" spans="1:11" ht="55.5" customHeight="1">
      <c r="A97" s="17" t="s">
        <v>1848</v>
      </c>
      <c r="B97" s="18" t="s">
        <v>1035</v>
      </c>
      <c r="C97" s="18" t="s">
        <v>1048</v>
      </c>
      <c r="D97" s="19" t="s">
        <v>44</v>
      </c>
      <c r="E97" s="17" t="s">
        <v>46</v>
      </c>
      <c r="F97" s="18" t="s">
        <v>1049</v>
      </c>
      <c r="G97" s="18" t="s">
        <v>980</v>
      </c>
      <c r="H97" s="18" t="s">
        <v>1009</v>
      </c>
      <c r="I97" s="18"/>
      <c r="J97" s="16" t="s">
        <v>51</v>
      </c>
      <c r="K97" s="18"/>
    </row>
    <row r="98" spans="1:11" ht="42" customHeight="1">
      <c r="A98" s="17" t="s">
        <v>1849</v>
      </c>
      <c r="B98" s="18" t="s">
        <v>1035</v>
      </c>
      <c r="C98" s="18" t="s">
        <v>1051</v>
      </c>
      <c r="D98" s="19" t="s">
        <v>44</v>
      </c>
      <c r="E98" s="17" t="s">
        <v>46</v>
      </c>
      <c r="F98" s="18" t="s">
        <v>1052</v>
      </c>
      <c r="G98" s="18" t="s">
        <v>1850</v>
      </c>
      <c r="H98" s="18" t="s">
        <v>986</v>
      </c>
      <c r="I98" s="18"/>
      <c r="J98" s="16" t="s">
        <v>51</v>
      </c>
      <c r="K98" s="18"/>
    </row>
    <row r="99" spans="1:11" ht="55.5" customHeight="1">
      <c r="A99" s="17" t="s">
        <v>1851</v>
      </c>
      <c r="B99" s="18" t="s">
        <v>1035</v>
      </c>
      <c r="C99" s="18" t="s">
        <v>1055</v>
      </c>
      <c r="D99" s="19" t="s">
        <v>44</v>
      </c>
      <c r="E99" s="17" t="s">
        <v>46</v>
      </c>
      <c r="F99" s="18" t="s">
        <v>1056</v>
      </c>
      <c r="G99" s="18" t="s">
        <v>1852</v>
      </c>
      <c r="H99" s="18" t="s">
        <v>991</v>
      </c>
      <c r="I99" s="18"/>
      <c r="J99" s="16" t="s">
        <v>51</v>
      </c>
      <c r="K99" s="18"/>
    </row>
    <row r="100" spans="1:11" ht="55.5" customHeight="1">
      <c r="A100" s="13" t="s">
        <v>1853</v>
      </c>
      <c r="B100" s="14" t="s">
        <v>1059</v>
      </c>
      <c r="C100" s="14" t="s">
        <v>1060</v>
      </c>
      <c r="D100" s="15" t="s">
        <v>43</v>
      </c>
      <c r="E100" s="13" t="s">
        <v>46</v>
      </c>
      <c r="F100" s="14" t="s">
        <v>1061</v>
      </c>
      <c r="G100" s="14" t="s">
        <v>1854</v>
      </c>
      <c r="H100" s="14" t="s">
        <v>1063</v>
      </c>
      <c r="I100" s="14"/>
      <c r="J100" s="16" t="s">
        <v>51</v>
      </c>
      <c r="K100" s="14"/>
    </row>
    <row r="101" spans="1:11" ht="42" customHeight="1">
      <c r="A101" s="17" t="s">
        <v>1855</v>
      </c>
      <c r="B101" s="18" t="s">
        <v>1059</v>
      </c>
      <c r="C101" s="18" t="s">
        <v>1065</v>
      </c>
      <c r="D101" s="19" t="s">
        <v>44</v>
      </c>
      <c r="E101" s="17" t="s">
        <v>46</v>
      </c>
      <c r="F101" s="18" t="s">
        <v>1066</v>
      </c>
      <c r="G101" s="18" t="s">
        <v>1067</v>
      </c>
      <c r="H101" s="18" t="s">
        <v>1068</v>
      </c>
      <c r="I101" s="18"/>
      <c r="J101" s="16" t="s">
        <v>51</v>
      </c>
      <c r="K101" s="18"/>
    </row>
    <row r="102" spans="1:11" ht="42" customHeight="1">
      <c r="A102" s="17" t="s">
        <v>1856</v>
      </c>
      <c r="B102" s="18" t="s">
        <v>1059</v>
      </c>
      <c r="C102" s="18" t="s">
        <v>1070</v>
      </c>
      <c r="D102" s="19" t="s">
        <v>44</v>
      </c>
      <c r="E102" s="17" t="s">
        <v>46</v>
      </c>
      <c r="F102" s="18" t="s">
        <v>1071</v>
      </c>
      <c r="G102" s="18" t="s">
        <v>1072</v>
      </c>
      <c r="H102" s="18" t="s">
        <v>156</v>
      </c>
      <c r="I102" s="18"/>
      <c r="J102" s="16" t="s">
        <v>51</v>
      </c>
      <c r="K102" s="18"/>
    </row>
    <row r="103" spans="1:11" ht="42" customHeight="1">
      <c r="A103" s="17" t="s">
        <v>1857</v>
      </c>
      <c r="B103" s="18" t="s">
        <v>1059</v>
      </c>
      <c r="C103" s="18" t="s">
        <v>1074</v>
      </c>
      <c r="D103" s="19" t="s">
        <v>44</v>
      </c>
      <c r="E103" s="17" t="s">
        <v>47</v>
      </c>
      <c r="F103" s="18" t="s">
        <v>1075</v>
      </c>
      <c r="G103" s="18" t="s">
        <v>1076</v>
      </c>
      <c r="H103" s="18" t="s">
        <v>630</v>
      </c>
      <c r="I103" s="18"/>
      <c r="J103" s="16" t="s">
        <v>51</v>
      </c>
      <c r="K103" s="18" t="s">
        <v>631</v>
      </c>
    </row>
    <row r="104" spans="1:11" ht="55.5" customHeight="1">
      <c r="A104" s="13" t="s">
        <v>1858</v>
      </c>
      <c r="B104" s="14" t="s">
        <v>1059</v>
      </c>
      <c r="C104" s="14" t="s">
        <v>1078</v>
      </c>
      <c r="D104" s="15" t="s">
        <v>43</v>
      </c>
      <c r="E104" s="13" t="s">
        <v>46</v>
      </c>
      <c r="F104" s="14" t="s">
        <v>1079</v>
      </c>
      <c r="G104" s="14" t="s">
        <v>1859</v>
      </c>
      <c r="H104" s="14" t="s">
        <v>758</v>
      </c>
      <c r="I104" s="14"/>
      <c r="J104" s="16" t="s">
        <v>51</v>
      </c>
      <c r="K104" s="14"/>
    </row>
    <row r="105" spans="1:11" ht="27.75" customHeight="1">
      <c r="A105" s="17" t="s">
        <v>1860</v>
      </c>
      <c r="B105" s="18" t="s">
        <v>1059</v>
      </c>
      <c r="C105" s="18" t="s">
        <v>1082</v>
      </c>
      <c r="D105" s="19" t="s">
        <v>44</v>
      </c>
      <c r="E105" s="17" t="s">
        <v>46</v>
      </c>
      <c r="F105" s="18" t="s">
        <v>1083</v>
      </c>
      <c r="G105" s="18" t="s">
        <v>1084</v>
      </c>
      <c r="H105" s="18" t="s">
        <v>1085</v>
      </c>
      <c r="I105" s="18"/>
      <c r="J105" s="16" t="s">
        <v>51</v>
      </c>
      <c r="K105" s="18"/>
    </row>
    <row r="106" spans="1:11" ht="42" customHeight="1">
      <c r="A106" s="17" t="s">
        <v>1861</v>
      </c>
      <c r="B106" s="18" t="s">
        <v>1059</v>
      </c>
      <c r="C106" s="18" t="s">
        <v>1087</v>
      </c>
      <c r="D106" s="19" t="s">
        <v>44</v>
      </c>
      <c r="E106" s="17" t="s">
        <v>46</v>
      </c>
      <c r="F106" s="18" t="s">
        <v>1088</v>
      </c>
      <c r="G106" s="18" t="s">
        <v>1089</v>
      </c>
      <c r="H106" s="18" t="s">
        <v>1090</v>
      </c>
      <c r="I106" s="18"/>
      <c r="J106" s="16" t="s">
        <v>51</v>
      </c>
      <c r="K106" s="18" t="s">
        <v>631</v>
      </c>
    </row>
    <row r="107" spans="1:11" ht="55.5" customHeight="1">
      <c r="A107" s="17" t="s">
        <v>1862</v>
      </c>
      <c r="B107" s="18" t="s">
        <v>1059</v>
      </c>
      <c r="C107" s="18" t="s">
        <v>1092</v>
      </c>
      <c r="D107" s="19" t="s">
        <v>44</v>
      </c>
      <c r="E107" s="17" t="s">
        <v>47</v>
      </c>
      <c r="F107" s="18" t="s">
        <v>1093</v>
      </c>
      <c r="G107" s="18" t="s">
        <v>1094</v>
      </c>
      <c r="H107" s="18" t="s">
        <v>1095</v>
      </c>
      <c r="I107" s="18"/>
      <c r="J107" s="16" t="s">
        <v>51</v>
      </c>
      <c r="K107" s="18" t="s">
        <v>631</v>
      </c>
    </row>
    <row r="108" spans="1:11" ht="42" customHeight="1">
      <c r="A108" s="13" t="s">
        <v>1863</v>
      </c>
      <c r="B108" s="14" t="s">
        <v>1059</v>
      </c>
      <c r="C108" s="14" t="s">
        <v>1097</v>
      </c>
      <c r="D108" s="15" t="s">
        <v>43</v>
      </c>
      <c r="E108" s="13" t="s">
        <v>46</v>
      </c>
      <c r="F108" s="14" t="s">
        <v>1098</v>
      </c>
      <c r="G108" s="14" t="s">
        <v>1864</v>
      </c>
      <c r="H108" s="14" t="s">
        <v>743</v>
      </c>
      <c r="I108" s="14"/>
      <c r="J108" s="16" t="s">
        <v>51</v>
      </c>
      <c r="K108" s="14"/>
    </row>
    <row r="109" spans="1:11" ht="42" customHeight="1">
      <c r="A109" s="17" t="s">
        <v>1865</v>
      </c>
      <c r="B109" s="18" t="s">
        <v>1059</v>
      </c>
      <c r="C109" s="18" t="s">
        <v>1101</v>
      </c>
      <c r="D109" s="19" t="s">
        <v>44</v>
      </c>
      <c r="E109" s="17" t="s">
        <v>46</v>
      </c>
      <c r="F109" s="18" t="s">
        <v>1102</v>
      </c>
      <c r="G109" s="18" t="s">
        <v>1103</v>
      </c>
      <c r="H109" s="18" t="s">
        <v>1104</v>
      </c>
      <c r="I109" s="18"/>
      <c r="J109" s="16" t="s">
        <v>51</v>
      </c>
      <c r="K109" s="18"/>
    </row>
    <row r="110" spans="1:11" ht="42" customHeight="1">
      <c r="A110" s="13" t="s">
        <v>1866</v>
      </c>
      <c r="B110" s="14" t="s">
        <v>1059</v>
      </c>
      <c r="C110" s="14" t="s">
        <v>1106</v>
      </c>
      <c r="D110" s="15" t="s">
        <v>43</v>
      </c>
      <c r="E110" s="13" t="s">
        <v>47</v>
      </c>
      <c r="F110" s="14" t="s">
        <v>1107</v>
      </c>
      <c r="G110" s="14" t="s">
        <v>1108</v>
      </c>
      <c r="H110" s="14" t="s">
        <v>753</v>
      </c>
      <c r="I110" s="14"/>
      <c r="J110" s="16" t="s">
        <v>51</v>
      </c>
      <c r="K110" s="14" t="s">
        <v>631</v>
      </c>
    </row>
    <row r="111" spans="1:11" ht="42" customHeight="1">
      <c r="A111" s="13" t="s">
        <v>1867</v>
      </c>
      <c r="B111" s="14" t="s">
        <v>1059</v>
      </c>
      <c r="C111" s="14" t="s">
        <v>1110</v>
      </c>
      <c r="D111" s="15" t="s">
        <v>43</v>
      </c>
      <c r="E111" s="13" t="s">
        <v>46</v>
      </c>
      <c r="F111" s="14" t="s">
        <v>1111</v>
      </c>
      <c r="G111" s="14" t="s">
        <v>1112</v>
      </c>
      <c r="H111" s="14" t="s">
        <v>743</v>
      </c>
      <c r="I111" s="14"/>
      <c r="J111" s="16" t="s">
        <v>51</v>
      </c>
      <c r="K111" s="14"/>
    </row>
    <row r="112" spans="1:11" ht="42" customHeight="1">
      <c r="A112" s="17" t="s">
        <v>1868</v>
      </c>
      <c r="B112" s="18" t="s">
        <v>1059</v>
      </c>
      <c r="C112" s="18" t="s">
        <v>1114</v>
      </c>
      <c r="D112" s="19" t="s">
        <v>44</v>
      </c>
      <c r="E112" s="17" t="s">
        <v>46</v>
      </c>
      <c r="F112" s="18" t="s">
        <v>1115</v>
      </c>
      <c r="G112" s="18" t="s">
        <v>1116</v>
      </c>
      <c r="H112" s="18" t="s">
        <v>1117</v>
      </c>
      <c r="I112" s="18"/>
      <c r="J112" s="16" t="s">
        <v>51</v>
      </c>
      <c r="K112" s="18"/>
    </row>
    <row r="113" spans="1:11" ht="42" customHeight="1">
      <c r="A113" s="13" t="s">
        <v>1869</v>
      </c>
      <c r="B113" s="14" t="s">
        <v>1059</v>
      </c>
      <c r="C113" s="14" t="s">
        <v>1119</v>
      </c>
      <c r="D113" s="15" t="s">
        <v>43</v>
      </c>
      <c r="E113" s="13" t="s">
        <v>47</v>
      </c>
      <c r="F113" s="14" t="s">
        <v>1120</v>
      </c>
      <c r="G113" s="14" t="s">
        <v>1121</v>
      </c>
      <c r="H113" s="14" t="s">
        <v>753</v>
      </c>
      <c r="I113" s="14"/>
      <c r="J113" s="16" t="s">
        <v>51</v>
      </c>
      <c r="K113" s="14" t="s">
        <v>631</v>
      </c>
    </row>
    <row r="114" spans="1:11" ht="55.5" customHeight="1">
      <c r="A114" s="13" t="s">
        <v>1870</v>
      </c>
      <c r="B114" s="14" t="s">
        <v>1059</v>
      </c>
      <c r="C114" s="14" t="s">
        <v>1123</v>
      </c>
      <c r="D114" s="15" t="s">
        <v>43</v>
      </c>
      <c r="E114" s="13" t="s">
        <v>46</v>
      </c>
      <c r="F114" s="14" t="s">
        <v>1124</v>
      </c>
      <c r="G114" s="14" t="s">
        <v>1871</v>
      </c>
      <c r="H114" s="14" t="s">
        <v>1126</v>
      </c>
      <c r="I114" s="14"/>
      <c r="J114" s="16" t="s">
        <v>51</v>
      </c>
      <c r="K114" s="14"/>
    </row>
    <row r="115" spans="1:11" ht="27.75" customHeight="1">
      <c r="A115" s="17" t="s">
        <v>1872</v>
      </c>
      <c r="B115" s="18" t="s">
        <v>1059</v>
      </c>
      <c r="C115" s="18" t="s">
        <v>1128</v>
      </c>
      <c r="D115" s="19" t="s">
        <v>44</v>
      </c>
      <c r="E115" s="17" t="s">
        <v>46</v>
      </c>
      <c r="F115" s="18" t="s">
        <v>1129</v>
      </c>
      <c r="G115" s="18" t="s">
        <v>1130</v>
      </c>
      <c r="H115" s="18" t="s">
        <v>1131</v>
      </c>
      <c r="I115" s="18"/>
      <c r="J115" s="16" t="s">
        <v>51</v>
      </c>
      <c r="K115" s="18"/>
    </row>
    <row r="116" spans="1:11" ht="42" customHeight="1">
      <c r="A116" s="17" t="s">
        <v>1873</v>
      </c>
      <c r="B116" s="18" t="s">
        <v>1059</v>
      </c>
      <c r="C116" s="18" t="s">
        <v>1133</v>
      </c>
      <c r="D116" s="19" t="s">
        <v>44</v>
      </c>
      <c r="E116" s="17" t="s">
        <v>46</v>
      </c>
      <c r="F116" s="18" t="s">
        <v>1134</v>
      </c>
      <c r="G116" s="18" t="s">
        <v>1135</v>
      </c>
      <c r="H116" s="18" t="s">
        <v>829</v>
      </c>
      <c r="I116" s="18"/>
      <c r="J116" s="16" t="s">
        <v>51</v>
      </c>
      <c r="K116" s="18" t="s">
        <v>631</v>
      </c>
    </row>
    <row r="117" spans="1:11" ht="42" customHeight="1">
      <c r="A117" s="17" t="s">
        <v>1874</v>
      </c>
      <c r="B117" s="18" t="s">
        <v>1059</v>
      </c>
      <c r="C117" s="18" t="s">
        <v>1137</v>
      </c>
      <c r="D117" s="19" t="s">
        <v>44</v>
      </c>
      <c r="E117" s="17" t="s">
        <v>46</v>
      </c>
      <c r="F117" s="18" t="s">
        <v>1138</v>
      </c>
      <c r="G117" s="18" t="s">
        <v>1139</v>
      </c>
      <c r="H117" s="18" t="s">
        <v>834</v>
      </c>
      <c r="I117" s="18"/>
      <c r="J117" s="16" t="s">
        <v>51</v>
      </c>
      <c r="K117" s="18"/>
    </row>
    <row r="118" spans="1:11" ht="42" customHeight="1">
      <c r="A118" s="13" t="s">
        <v>1875</v>
      </c>
      <c r="B118" s="14" t="s">
        <v>1059</v>
      </c>
      <c r="C118" s="14" t="s">
        <v>1141</v>
      </c>
      <c r="D118" s="15" t="s">
        <v>43</v>
      </c>
      <c r="E118" s="13" t="s">
        <v>46</v>
      </c>
      <c r="F118" s="14" t="s">
        <v>1142</v>
      </c>
      <c r="G118" s="14" t="s">
        <v>1143</v>
      </c>
      <c r="H118" s="14" t="s">
        <v>743</v>
      </c>
      <c r="I118" s="14"/>
      <c r="J118" s="16" t="s">
        <v>51</v>
      </c>
      <c r="K118" s="14"/>
    </row>
    <row r="119" spans="1:11" ht="42" customHeight="1">
      <c r="A119" s="17" t="s">
        <v>1876</v>
      </c>
      <c r="B119" s="18" t="s">
        <v>1059</v>
      </c>
      <c r="C119" s="18" t="s">
        <v>1145</v>
      </c>
      <c r="D119" s="19" t="s">
        <v>44</v>
      </c>
      <c r="E119" s="17" t="s">
        <v>46</v>
      </c>
      <c r="F119" s="18" t="s">
        <v>1146</v>
      </c>
      <c r="G119" s="18" t="s">
        <v>1147</v>
      </c>
      <c r="H119" s="18" t="s">
        <v>1148</v>
      </c>
      <c r="I119" s="18"/>
      <c r="J119" s="16" t="s">
        <v>51</v>
      </c>
      <c r="K119" s="18"/>
    </row>
    <row r="120" spans="1:11" ht="42" customHeight="1">
      <c r="A120" s="13" t="s">
        <v>1877</v>
      </c>
      <c r="B120" s="14" t="s">
        <v>1059</v>
      </c>
      <c r="C120" s="14" t="s">
        <v>1150</v>
      </c>
      <c r="D120" s="15" t="s">
        <v>43</v>
      </c>
      <c r="E120" s="13" t="s">
        <v>47</v>
      </c>
      <c r="F120" s="14" t="s">
        <v>1151</v>
      </c>
      <c r="G120" s="14" t="s">
        <v>1152</v>
      </c>
      <c r="H120" s="14" t="s">
        <v>753</v>
      </c>
      <c r="I120" s="14"/>
      <c r="J120" s="16" t="s">
        <v>51</v>
      </c>
      <c r="K120" s="14" t="s">
        <v>631</v>
      </c>
    </row>
    <row r="121" spans="1:11" ht="69.75" customHeight="1">
      <c r="A121" s="13" t="s">
        <v>1878</v>
      </c>
      <c r="B121" s="14" t="s">
        <v>1059</v>
      </c>
      <c r="C121" s="14" t="s">
        <v>1154</v>
      </c>
      <c r="D121" s="15" t="s">
        <v>43</v>
      </c>
      <c r="E121" s="13" t="s">
        <v>46</v>
      </c>
      <c r="F121" s="14" t="s">
        <v>1155</v>
      </c>
      <c r="G121" s="14" t="s">
        <v>1879</v>
      </c>
      <c r="H121" s="14" t="s">
        <v>1157</v>
      </c>
      <c r="I121" s="14"/>
      <c r="J121" s="16" t="s">
        <v>51</v>
      </c>
      <c r="K121" s="14"/>
    </row>
    <row r="122" spans="1:11" ht="27.75" customHeight="1">
      <c r="A122" s="17" t="s">
        <v>1880</v>
      </c>
      <c r="B122" s="18" t="s">
        <v>1059</v>
      </c>
      <c r="C122" s="18" t="s">
        <v>1159</v>
      </c>
      <c r="D122" s="19" t="s">
        <v>44</v>
      </c>
      <c r="E122" s="17" t="s">
        <v>46</v>
      </c>
      <c r="F122" s="18" t="s">
        <v>1160</v>
      </c>
      <c r="G122" s="18" t="s">
        <v>1161</v>
      </c>
      <c r="H122" s="18" t="s">
        <v>1162</v>
      </c>
      <c r="I122" s="18"/>
      <c r="J122" s="16" t="s">
        <v>51</v>
      </c>
      <c r="K122" s="18"/>
    </row>
    <row r="123" spans="1:11" ht="42" customHeight="1">
      <c r="A123" s="17" t="s">
        <v>1881</v>
      </c>
      <c r="B123" s="18" t="s">
        <v>1059</v>
      </c>
      <c r="C123" s="18" t="s">
        <v>1164</v>
      </c>
      <c r="D123" s="19" t="s">
        <v>44</v>
      </c>
      <c r="E123" s="17" t="s">
        <v>46</v>
      </c>
      <c r="F123" s="18" t="s">
        <v>1165</v>
      </c>
      <c r="G123" s="18" t="s">
        <v>1166</v>
      </c>
      <c r="H123" s="18" t="s">
        <v>1167</v>
      </c>
      <c r="I123" s="18"/>
      <c r="J123" s="16" t="s">
        <v>51</v>
      </c>
      <c r="K123" s="18" t="s">
        <v>631</v>
      </c>
    </row>
    <row r="124" spans="1:11" ht="42" customHeight="1">
      <c r="A124" s="17" t="s">
        <v>1882</v>
      </c>
      <c r="B124" s="18" t="s">
        <v>1059</v>
      </c>
      <c r="C124" s="18" t="s">
        <v>1169</v>
      </c>
      <c r="D124" s="19" t="s">
        <v>44</v>
      </c>
      <c r="E124" s="17" t="s">
        <v>47</v>
      </c>
      <c r="F124" s="18" t="s">
        <v>1170</v>
      </c>
      <c r="G124" s="18" t="s">
        <v>1171</v>
      </c>
      <c r="H124" s="18" t="s">
        <v>651</v>
      </c>
      <c r="I124" s="18"/>
      <c r="J124" s="16" t="s">
        <v>51</v>
      </c>
      <c r="K124" s="18" t="s">
        <v>631</v>
      </c>
    </row>
    <row r="125" spans="1:11" ht="69.75" customHeight="1">
      <c r="A125" s="13" t="s">
        <v>1883</v>
      </c>
      <c r="B125" s="14" t="s">
        <v>1059</v>
      </c>
      <c r="C125" s="14" t="s">
        <v>1173</v>
      </c>
      <c r="D125" s="15" t="s">
        <v>43</v>
      </c>
      <c r="E125" s="13" t="s">
        <v>45</v>
      </c>
      <c r="F125" s="14" t="s">
        <v>1174</v>
      </c>
      <c r="G125" s="14" t="s">
        <v>1884</v>
      </c>
      <c r="H125" s="14" t="s">
        <v>966</v>
      </c>
      <c r="I125" s="14"/>
      <c r="J125" s="16" t="s">
        <v>51</v>
      </c>
      <c r="K125" s="14"/>
    </row>
    <row r="126" spans="1:11" ht="27.75" customHeight="1">
      <c r="A126" s="17" t="s">
        <v>1885</v>
      </c>
      <c r="B126" s="18" t="s">
        <v>1059</v>
      </c>
      <c r="C126" s="18" t="s">
        <v>1177</v>
      </c>
      <c r="D126" s="19" t="s">
        <v>44</v>
      </c>
      <c r="E126" s="17" t="s">
        <v>45</v>
      </c>
      <c r="F126" s="18" t="s">
        <v>1178</v>
      </c>
      <c r="G126" s="18" t="s">
        <v>1179</v>
      </c>
      <c r="H126" s="18" t="s">
        <v>1180</v>
      </c>
      <c r="I126" s="18"/>
      <c r="J126" s="16" t="s">
        <v>51</v>
      </c>
      <c r="K126" s="18"/>
    </row>
    <row r="127" spans="1:11" ht="55.5" customHeight="1">
      <c r="A127" s="17" t="s">
        <v>1886</v>
      </c>
      <c r="B127" s="18" t="s">
        <v>1059</v>
      </c>
      <c r="C127" s="18" t="s">
        <v>1182</v>
      </c>
      <c r="D127" s="19" t="s">
        <v>44</v>
      </c>
      <c r="E127" s="17" t="s">
        <v>45</v>
      </c>
      <c r="F127" s="18" t="s">
        <v>1183</v>
      </c>
      <c r="G127" s="18" t="s">
        <v>1005</v>
      </c>
      <c r="H127" s="18" t="s">
        <v>976</v>
      </c>
      <c r="I127" s="18"/>
      <c r="J127" s="16" t="s">
        <v>51</v>
      </c>
      <c r="K127" s="18"/>
    </row>
    <row r="128" spans="1:11" ht="42" customHeight="1">
      <c r="A128" s="17" t="s">
        <v>1887</v>
      </c>
      <c r="B128" s="18" t="s">
        <v>1059</v>
      </c>
      <c r="C128" s="18" t="s">
        <v>1185</v>
      </c>
      <c r="D128" s="19" t="s">
        <v>44</v>
      </c>
      <c r="E128" s="17" t="s">
        <v>46</v>
      </c>
      <c r="F128" s="18" t="s">
        <v>1186</v>
      </c>
      <c r="G128" s="18" t="s">
        <v>980</v>
      </c>
      <c r="H128" s="18" t="s">
        <v>1187</v>
      </c>
      <c r="I128" s="18"/>
      <c r="J128" s="16" t="s">
        <v>51</v>
      </c>
      <c r="K128" s="18"/>
    </row>
    <row r="129" spans="1:11" ht="27.75" customHeight="1">
      <c r="A129" s="17" t="s">
        <v>1888</v>
      </c>
      <c r="B129" s="18" t="s">
        <v>1059</v>
      </c>
      <c r="C129" s="18" t="s">
        <v>1189</v>
      </c>
      <c r="D129" s="19" t="s">
        <v>44</v>
      </c>
      <c r="E129" s="17" t="s">
        <v>46</v>
      </c>
      <c r="F129" s="18" t="s">
        <v>1190</v>
      </c>
      <c r="G129" s="18" t="s">
        <v>1889</v>
      </c>
      <c r="H129" s="18" t="s">
        <v>986</v>
      </c>
      <c r="I129" s="18"/>
      <c r="J129" s="16" t="s">
        <v>51</v>
      </c>
      <c r="K129" s="18"/>
    </row>
    <row r="130" spans="1:11" ht="42" customHeight="1">
      <c r="A130" s="17" t="s">
        <v>1890</v>
      </c>
      <c r="B130" s="18" t="s">
        <v>1059</v>
      </c>
      <c r="C130" s="18" t="s">
        <v>1193</v>
      </c>
      <c r="D130" s="19" t="s">
        <v>44</v>
      </c>
      <c r="E130" s="17" t="s">
        <v>46</v>
      </c>
      <c r="F130" s="18" t="s">
        <v>1194</v>
      </c>
      <c r="G130" s="18" t="s">
        <v>1891</v>
      </c>
      <c r="H130" s="18" t="s">
        <v>991</v>
      </c>
      <c r="I130" s="18"/>
      <c r="J130" s="16" t="s">
        <v>51</v>
      </c>
      <c r="K130" s="18"/>
    </row>
    <row r="131" spans="1:11" ht="69.75" customHeight="1">
      <c r="A131" s="13" t="s">
        <v>1892</v>
      </c>
      <c r="B131" s="14" t="s">
        <v>1059</v>
      </c>
      <c r="C131" s="14" t="s">
        <v>1197</v>
      </c>
      <c r="D131" s="15" t="s">
        <v>43</v>
      </c>
      <c r="E131" s="13" t="s">
        <v>45</v>
      </c>
      <c r="F131" s="14" t="s">
        <v>1198</v>
      </c>
      <c r="G131" s="14" t="s">
        <v>1893</v>
      </c>
      <c r="H131" s="14" t="s">
        <v>1894</v>
      </c>
      <c r="I131" s="14"/>
      <c r="J131" s="16" t="s">
        <v>51</v>
      </c>
      <c r="K131" s="14"/>
    </row>
    <row r="132" spans="1:11" ht="55.5" customHeight="1">
      <c r="A132" s="13" t="s">
        <v>1895</v>
      </c>
      <c r="B132" s="14" t="s">
        <v>1059</v>
      </c>
      <c r="C132" s="14" t="s">
        <v>1202</v>
      </c>
      <c r="D132" s="15" t="s">
        <v>43</v>
      </c>
      <c r="E132" s="13" t="s">
        <v>46</v>
      </c>
      <c r="F132" s="14" t="s">
        <v>1203</v>
      </c>
      <c r="G132" s="14" t="s">
        <v>1204</v>
      </c>
      <c r="H132" s="14" t="s">
        <v>1205</v>
      </c>
      <c r="I132" s="14"/>
      <c r="J132" s="16" t="s">
        <v>51</v>
      </c>
      <c r="K132" s="14" t="s">
        <v>631</v>
      </c>
    </row>
    <row r="133" spans="1:11" ht="42" customHeight="1">
      <c r="A133" s="17" t="s">
        <v>1896</v>
      </c>
      <c r="B133" s="18" t="s">
        <v>1059</v>
      </c>
      <c r="C133" s="18" t="s">
        <v>1207</v>
      </c>
      <c r="D133" s="19" t="s">
        <v>44</v>
      </c>
      <c r="E133" s="17" t="s">
        <v>45</v>
      </c>
      <c r="F133" s="18" t="s">
        <v>1208</v>
      </c>
      <c r="G133" s="18" t="s">
        <v>1209</v>
      </c>
      <c r="H133" s="18" t="s">
        <v>1210</v>
      </c>
      <c r="I133" s="18"/>
      <c r="J133" s="16" t="s">
        <v>51</v>
      </c>
      <c r="K133" s="18" t="s">
        <v>631</v>
      </c>
    </row>
    <row r="134" spans="1:11" ht="42" customHeight="1">
      <c r="A134" s="13" t="s">
        <v>1897</v>
      </c>
      <c r="B134" s="14" t="s">
        <v>1059</v>
      </c>
      <c r="C134" s="14" t="s">
        <v>1212</v>
      </c>
      <c r="D134" s="15" t="s">
        <v>43</v>
      </c>
      <c r="E134" s="13" t="s">
        <v>46</v>
      </c>
      <c r="F134" s="14" t="s">
        <v>1213</v>
      </c>
      <c r="G134" s="14" t="s">
        <v>1898</v>
      </c>
      <c r="H134" s="14" t="s">
        <v>1215</v>
      </c>
      <c r="I134" s="14"/>
      <c r="J134" s="16" t="s">
        <v>51</v>
      </c>
      <c r="K134" s="14"/>
    </row>
    <row r="135" spans="1:11" ht="27.75" customHeight="1">
      <c r="A135" s="17" t="s">
        <v>1899</v>
      </c>
      <c r="B135" s="18" t="s">
        <v>1059</v>
      </c>
      <c r="C135" s="18" t="s">
        <v>1217</v>
      </c>
      <c r="D135" s="19" t="s">
        <v>44</v>
      </c>
      <c r="E135" s="17" t="s">
        <v>45</v>
      </c>
      <c r="F135" s="18" t="s">
        <v>1218</v>
      </c>
      <c r="G135" s="18" t="s">
        <v>1219</v>
      </c>
      <c r="H135" s="18" t="s">
        <v>1220</v>
      </c>
      <c r="I135" s="18"/>
      <c r="J135" s="16" t="s">
        <v>51</v>
      </c>
      <c r="K135" s="18"/>
    </row>
    <row r="136" spans="1:11" ht="55.5" customHeight="1">
      <c r="A136" s="13" t="s">
        <v>1900</v>
      </c>
      <c r="B136" s="14" t="s">
        <v>1222</v>
      </c>
      <c r="C136" s="14" t="s">
        <v>1223</v>
      </c>
      <c r="D136" s="15" t="s">
        <v>43</v>
      </c>
      <c r="E136" s="13" t="s">
        <v>46</v>
      </c>
      <c r="F136" s="14" t="s">
        <v>1224</v>
      </c>
      <c r="G136" s="14" t="s">
        <v>1901</v>
      </c>
      <c r="H136" s="14" t="s">
        <v>1226</v>
      </c>
      <c r="I136" s="14"/>
      <c r="J136" s="16" t="s">
        <v>51</v>
      </c>
      <c r="K136" s="14"/>
    </row>
    <row r="137" spans="1:11" ht="42" customHeight="1">
      <c r="A137" s="17" t="s">
        <v>1902</v>
      </c>
      <c r="B137" s="18" t="s">
        <v>1222</v>
      </c>
      <c r="C137" s="18" t="s">
        <v>1228</v>
      </c>
      <c r="D137" s="19" t="s">
        <v>44</v>
      </c>
      <c r="E137" s="17" t="s">
        <v>46</v>
      </c>
      <c r="F137" s="18" t="s">
        <v>1229</v>
      </c>
      <c r="G137" s="18" t="s">
        <v>1230</v>
      </c>
      <c r="H137" s="18" t="s">
        <v>1231</v>
      </c>
      <c r="I137" s="18"/>
      <c r="J137" s="16" t="s">
        <v>51</v>
      </c>
      <c r="K137" s="18"/>
    </row>
    <row r="138" spans="1:11" ht="42" customHeight="1">
      <c r="A138" s="17" t="s">
        <v>1903</v>
      </c>
      <c r="B138" s="18" t="s">
        <v>1222</v>
      </c>
      <c r="C138" s="18" t="s">
        <v>1233</v>
      </c>
      <c r="D138" s="19" t="s">
        <v>44</v>
      </c>
      <c r="E138" s="17" t="s">
        <v>46</v>
      </c>
      <c r="F138" s="18" t="s">
        <v>1234</v>
      </c>
      <c r="G138" s="18" t="s">
        <v>1235</v>
      </c>
      <c r="H138" s="18" t="s">
        <v>156</v>
      </c>
      <c r="I138" s="18"/>
      <c r="J138" s="16" t="s">
        <v>51</v>
      </c>
      <c r="K138" s="18"/>
    </row>
    <row r="139" spans="1:11" ht="42" customHeight="1">
      <c r="A139" s="17" t="s">
        <v>1904</v>
      </c>
      <c r="B139" s="18" t="s">
        <v>1222</v>
      </c>
      <c r="C139" s="18" t="s">
        <v>1237</v>
      </c>
      <c r="D139" s="19" t="s">
        <v>44</v>
      </c>
      <c r="E139" s="17" t="s">
        <v>47</v>
      </c>
      <c r="F139" s="18" t="s">
        <v>1238</v>
      </c>
      <c r="G139" s="18" t="s">
        <v>1239</v>
      </c>
      <c r="H139" s="18" t="s">
        <v>630</v>
      </c>
      <c r="I139" s="18"/>
      <c r="J139" s="16" t="s">
        <v>51</v>
      </c>
      <c r="K139" s="18" t="s">
        <v>631</v>
      </c>
    </row>
    <row r="140" spans="1:11" ht="55.5" customHeight="1">
      <c r="A140" s="13" t="s">
        <v>1905</v>
      </c>
      <c r="B140" s="14" t="s">
        <v>1222</v>
      </c>
      <c r="C140" s="14" t="s">
        <v>1241</v>
      </c>
      <c r="D140" s="15" t="s">
        <v>43</v>
      </c>
      <c r="E140" s="13" t="s">
        <v>46</v>
      </c>
      <c r="F140" s="14" t="s">
        <v>1242</v>
      </c>
      <c r="G140" s="14" t="s">
        <v>1906</v>
      </c>
      <c r="H140" s="14" t="s">
        <v>1244</v>
      </c>
      <c r="I140" s="14"/>
      <c r="J140" s="16" t="s">
        <v>51</v>
      </c>
      <c r="K140" s="14"/>
    </row>
    <row r="141" spans="1:11" ht="42" customHeight="1">
      <c r="A141" s="17" t="s">
        <v>1907</v>
      </c>
      <c r="B141" s="18" t="s">
        <v>1222</v>
      </c>
      <c r="C141" s="18" t="s">
        <v>1246</v>
      </c>
      <c r="D141" s="19" t="s">
        <v>44</v>
      </c>
      <c r="E141" s="17" t="s">
        <v>46</v>
      </c>
      <c r="F141" s="18" t="s">
        <v>1247</v>
      </c>
      <c r="G141" s="18" t="s">
        <v>1248</v>
      </c>
      <c r="H141" s="18" t="s">
        <v>1249</v>
      </c>
      <c r="I141" s="18"/>
      <c r="J141" s="16" t="s">
        <v>51</v>
      </c>
      <c r="K141" s="18"/>
    </row>
    <row r="142" spans="1:11" ht="42" customHeight="1">
      <c r="A142" s="17" t="s">
        <v>1908</v>
      </c>
      <c r="B142" s="18" t="s">
        <v>1222</v>
      </c>
      <c r="C142" s="18" t="s">
        <v>1251</v>
      </c>
      <c r="D142" s="19" t="s">
        <v>44</v>
      </c>
      <c r="E142" s="17" t="s">
        <v>46</v>
      </c>
      <c r="F142" s="18" t="s">
        <v>1252</v>
      </c>
      <c r="G142" s="18" t="s">
        <v>1253</v>
      </c>
      <c r="H142" s="18" t="s">
        <v>156</v>
      </c>
      <c r="I142" s="18"/>
      <c r="J142" s="16" t="s">
        <v>51</v>
      </c>
      <c r="K142" s="18"/>
    </row>
    <row r="143" spans="1:11" ht="42" customHeight="1">
      <c r="A143" s="17" t="s">
        <v>1909</v>
      </c>
      <c r="B143" s="18" t="s">
        <v>1222</v>
      </c>
      <c r="C143" s="18" t="s">
        <v>1255</v>
      </c>
      <c r="D143" s="19" t="s">
        <v>44</v>
      </c>
      <c r="E143" s="17" t="s">
        <v>47</v>
      </c>
      <c r="F143" s="18" t="s">
        <v>1256</v>
      </c>
      <c r="G143" s="18" t="s">
        <v>1257</v>
      </c>
      <c r="H143" s="18" t="s">
        <v>630</v>
      </c>
      <c r="I143" s="18"/>
      <c r="J143" s="16" t="s">
        <v>51</v>
      </c>
      <c r="K143" s="18" t="s">
        <v>631</v>
      </c>
    </row>
    <row r="144" spans="1:11" ht="42" customHeight="1">
      <c r="A144" s="13" t="s">
        <v>1910</v>
      </c>
      <c r="B144" s="14" t="s">
        <v>1222</v>
      </c>
      <c r="C144" s="14" t="s">
        <v>1259</v>
      </c>
      <c r="D144" s="15" t="s">
        <v>43</v>
      </c>
      <c r="E144" s="13" t="s">
        <v>46</v>
      </c>
      <c r="F144" s="14" t="s">
        <v>1260</v>
      </c>
      <c r="G144" s="14" t="s">
        <v>1911</v>
      </c>
      <c r="H144" s="14" t="s">
        <v>758</v>
      </c>
      <c r="I144" s="14"/>
      <c r="J144" s="16" t="s">
        <v>51</v>
      </c>
      <c r="K144" s="14"/>
    </row>
    <row r="145" spans="1:11" ht="27.75" customHeight="1">
      <c r="A145" s="17" t="s">
        <v>1912</v>
      </c>
      <c r="B145" s="18" t="s">
        <v>1222</v>
      </c>
      <c r="C145" s="18" t="s">
        <v>1263</v>
      </c>
      <c r="D145" s="19" t="s">
        <v>44</v>
      </c>
      <c r="E145" s="17" t="s">
        <v>46</v>
      </c>
      <c r="F145" s="18" t="s">
        <v>1264</v>
      </c>
      <c r="G145" s="18" t="s">
        <v>1265</v>
      </c>
      <c r="H145" s="18" t="s">
        <v>1266</v>
      </c>
      <c r="I145" s="18"/>
      <c r="J145" s="16" t="s">
        <v>51</v>
      </c>
      <c r="K145" s="18"/>
    </row>
    <row r="146" spans="1:11" ht="42" customHeight="1">
      <c r="A146" s="17" t="s">
        <v>1913</v>
      </c>
      <c r="B146" s="18" t="s">
        <v>1222</v>
      </c>
      <c r="C146" s="18" t="s">
        <v>1268</v>
      </c>
      <c r="D146" s="19" t="s">
        <v>44</v>
      </c>
      <c r="E146" s="17" t="s">
        <v>46</v>
      </c>
      <c r="F146" s="18" t="s">
        <v>1269</v>
      </c>
      <c r="G146" s="18" t="s">
        <v>1270</v>
      </c>
      <c r="H146" s="18" t="s">
        <v>1271</v>
      </c>
      <c r="I146" s="18"/>
      <c r="J146" s="16" t="s">
        <v>51</v>
      </c>
      <c r="K146" s="18"/>
    </row>
    <row r="147" spans="1:11" ht="55.5" customHeight="1">
      <c r="A147" s="13" t="s">
        <v>1914</v>
      </c>
      <c r="B147" s="14" t="s">
        <v>1222</v>
      </c>
      <c r="C147" s="14" t="s">
        <v>1078</v>
      </c>
      <c r="D147" s="15" t="s">
        <v>43</v>
      </c>
      <c r="E147" s="13" t="s">
        <v>46</v>
      </c>
      <c r="F147" s="14" t="s">
        <v>1079</v>
      </c>
      <c r="G147" s="14" t="s">
        <v>1915</v>
      </c>
      <c r="H147" s="14" t="s">
        <v>758</v>
      </c>
      <c r="I147" s="14"/>
      <c r="J147" s="16" t="s">
        <v>51</v>
      </c>
      <c r="K147" s="14"/>
    </row>
    <row r="148" spans="1:11" ht="27.75" customHeight="1">
      <c r="A148" s="17" t="s">
        <v>1916</v>
      </c>
      <c r="B148" s="18" t="s">
        <v>1222</v>
      </c>
      <c r="C148" s="18" t="s">
        <v>1082</v>
      </c>
      <c r="D148" s="19" t="s">
        <v>44</v>
      </c>
      <c r="E148" s="17" t="s">
        <v>46</v>
      </c>
      <c r="F148" s="18" t="s">
        <v>1083</v>
      </c>
      <c r="G148" s="18" t="s">
        <v>1084</v>
      </c>
      <c r="H148" s="18" t="s">
        <v>1085</v>
      </c>
      <c r="I148" s="18"/>
      <c r="J148" s="16" t="s">
        <v>51</v>
      </c>
      <c r="K148" s="18"/>
    </row>
    <row r="149" spans="1:11" ht="42" customHeight="1">
      <c r="A149" s="17" t="s">
        <v>1917</v>
      </c>
      <c r="B149" s="18" t="s">
        <v>1222</v>
      </c>
      <c r="C149" s="18" t="s">
        <v>1087</v>
      </c>
      <c r="D149" s="19" t="s">
        <v>44</v>
      </c>
      <c r="E149" s="17" t="s">
        <v>46</v>
      </c>
      <c r="F149" s="18" t="s">
        <v>1088</v>
      </c>
      <c r="G149" s="18" t="s">
        <v>1089</v>
      </c>
      <c r="H149" s="18" t="s">
        <v>1090</v>
      </c>
      <c r="I149" s="18"/>
      <c r="J149" s="16" t="s">
        <v>51</v>
      </c>
      <c r="K149" s="18" t="s">
        <v>631</v>
      </c>
    </row>
    <row r="150" spans="1:11" ht="55.5" customHeight="1">
      <c r="A150" s="17" t="s">
        <v>1918</v>
      </c>
      <c r="B150" s="18" t="s">
        <v>1222</v>
      </c>
      <c r="C150" s="18" t="s">
        <v>1092</v>
      </c>
      <c r="D150" s="19" t="s">
        <v>44</v>
      </c>
      <c r="E150" s="17" t="s">
        <v>47</v>
      </c>
      <c r="F150" s="18" t="s">
        <v>1093</v>
      </c>
      <c r="G150" s="18" t="s">
        <v>1094</v>
      </c>
      <c r="H150" s="18" t="s">
        <v>1095</v>
      </c>
      <c r="I150" s="18"/>
      <c r="J150" s="16" t="s">
        <v>51</v>
      </c>
      <c r="K150" s="18" t="s">
        <v>631</v>
      </c>
    </row>
    <row r="151" spans="1:11" ht="42" customHeight="1">
      <c r="A151" s="13" t="s">
        <v>1919</v>
      </c>
      <c r="B151" s="14" t="s">
        <v>1222</v>
      </c>
      <c r="C151" s="14" t="s">
        <v>1097</v>
      </c>
      <c r="D151" s="15" t="s">
        <v>43</v>
      </c>
      <c r="E151" s="13" t="s">
        <v>46</v>
      </c>
      <c r="F151" s="14" t="s">
        <v>1098</v>
      </c>
      <c r="G151" s="14" t="s">
        <v>1864</v>
      </c>
      <c r="H151" s="14" t="s">
        <v>743</v>
      </c>
      <c r="I151" s="14"/>
      <c r="J151" s="16" t="s">
        <v>51</v>
      </c>
      <c r="K151" s="14"/>
    </row>
    <row r="152" spans="1:11" ht="42" customHeight="1">
      <c r="A152" s="17" t="s">
        <v>1920</v>
      </c>
      <c r="B152" s="18" t="s">
        <v>1222</v>
      </c>
      <c r="C152" s="18" t="s">
        <v>1101</v>
      </c>
      <c r="D152" s="19" t="s">
        <v>44</v>
      </c>
      <c r="E152" s="17" t="s">
        <v>46</v>
      </c>
      <c r="F152" s="18" t="s">
        <v>1102</v>
      </c>
      <c r="G152" s="18" t="s">
        <v>1103</v>
      </c>
      <c r="H152" s="18" t="s">
        <v>1104</v>
      </c>
      <c r="I152" s="18"/>
      <c r="J152" s="16" t="s">
        <v>51</v>
      </c>
      <c r="K152" s="18"/>
    </row>
    <row r="153" spans="1:11" ht="42" customHeight="1">
      <c r="A153" s="13" t="s">
        <v>1921</v>
      </c>
      <c r="B153" s="14" t="s">
        <v>1222</v>
      </c>
      <c r="C153" s="14" t="s">
        <v>1106</v>
      </c>
      <c r="D153" s="15" t="s">
        <v>43</v>
      </c>
      <c r="E153" s="13" t="s">
        <v>47</v>
      </c>
      <c r="F153" s="14" t="s">
        <v>1107</v>
      </c>
      <c r="G153" s="14" t="s">
        <v>1108</v>
      </c>
      <c r="H153" s="14" t="s">
        <v>753</v>
      </c>
      <c r="I153" s="14"/>
      <c r="J153" s="16" t="s">
        <v>51</v>
      </c>
      <c r="K153" s="14" t="s">
        <v>631</v>
      </c>
    </row>
    <row r="154" spans="1:11" ht="42" customHeight="1">
      <c r="A154" s="13" t="s">
        <v>1922</v>
      </c>
      <c r="B154" s="14" t="s">
        <v>1222</v>
      </c>
      <c r="C154" s="14" t="s">
        <v>1110</v>
      </c>
      <c r="D154" s="15" t="s">
        <v>43</v>
      </c>
      <c r="E154" s="13" t="s">
        <v>46</v>
      </c>
      <c r="F154" s="14" t="s">
        <v>1111</v>
      </c>
      <c r="G154" s="14" t="s">
        <v>1112</v>
      </c>
      <c r="H154" s="14" t="s">
        <v>743</v>
      </c>
      <c r="I154" s="14"/>
      <c r="J154" s="16" t="s">
        <v>51</v>
      </c>
      <c r="K154" s="14"/>
    </row>
    <row r="155" spans="1:11" ht="42" customHeight="1">
      <c r="A155" s="17" t="s">
        <v>1923</v>
      </c>
      <c r="B155" s="18" t="s">
        <v>1222</v>
      </c>
      <c r="C155" s="18" t="s">
        <v>1114</v>
      </c>
      <c r="D155" s="19" t="s">
        <v>44</v>
      </c>
      <c r="E155" s="17" t="s">
        <v>46</v>
      </c>
      <c r="F155" s="18" t="s">
        <v>1115</v>
      </c>
      <c r="G155" s="18" t="s">
        <v>1116</v>
      </c>
      <c r="H155" s="18" t="s">
        <v>1117</v>
      </c>
      <c r="I155" s="18"/>
      <c r="J155" s="16" t="s">
        <v>51</v>
      </c>
      <c r="K155" s="18"/>
    </row>
    <row r="156" spans="1:11" ht="42" customHeight="1">
      <c r="A156" s="13" t="s">
        <v>1924</v>
      </c>
      <c r="B156" s="14" t="s">
        <v>1222</v>
      </c>
      <c r="C156" s="14" t="s">
        <v>1119</v>
      </c>
      <c r="D156" s="15" t="s">
        <v>43</v>
      </c>
      <c r="E156" s="13" t="s">
        <v>47</v>
      </c>
      <c r="F156" s="14" t="s">
        <v>1120</v>
      </c>
      <c r="G156" s="14" t="s">
        <v>1121</v>
      </c>
      <c r="H156" s="14" t="s">
        <v>753</v>
      </c>
      <c r="I156" s="14"/>
      <c r="J156" s="16" t="s">
        <v>51</v>
      </c>
      <c r="K156" s="14" t="s">
        <v>631</v>
      </c>
    </row>
    <row r="157" spans="1:11" ht="42" customHeight="1">
      <c r="A157" s="13" t="s">
        <v>1925</v>
      </c>
      <c r="B157" s="14" t="s">
        <v>1222</v>
      </c>
      <c r="C157" s="14" t="s">
        <v>1141</v>
      </c>
      <c r="D157" s="15" t="s">
        <v>43</v>
      </c>
      <c r="E157" s="13" t="s">
        <v>46</v>
      </c>
      <c r="F157" s="14" t="s">
        <v>1142</v>
      </c>
      <c r="G157" s="14" t="s">
        <v>1284</v>
      </c>
      <c r="H157" s="14" t="s">
        <v>743</v>
      </c>
      <c r="I157" s="14"/>
      <c r="J157" s="16" t="s">
        <v>51</v>
      </c>
      <c r="K157" s="14"/>
    </row>
    <row r="158" spans="1:11" ht="42" customHeight="1">
      <c r="A158" s="17" t="s">
        <v>1926</v>
      </c>
      <c r="B158" s="18" t="s">
        <v>1222</v>
      </c>
      <c r="C158" s="18" t="s">
        <v>1145</v>
      </c>
      <c r="D158" s="19" t="s">
        <v>44</v>
      </c>
      <c r="E158" s="17" t="s">
        <v>46</v>
      </c>
      <c r="F158" s="18" t="s">
        <v>1146</v>
      </c>
      <c r="G158" s="18" t="s">
        <v>1147</v>
      </c>
      <c r="H158" s="18" t="s">
        <v>1148</v>
      </c>
      <c r="I158" s="18"/>
      <c r="J158" s="16" t="s">
        <v>51</v>
      </c>
      <c r="K158" s="18"/>
    </row>
    <row r="159" spans="1:11" ht="42" customHeight="1">
      <c r="A159" s="13" t="s">
        <v>1927</v>
      </c>
      <c r="B159" s="14" t="s">
        <v>1222</v>
      </c>
      <c r="C159" s="14" t="s">
        <v>1150</v>
      </c>
      <c r="D159" s="15" t="s">
        <v>43</v>
      </c>
      <c r="E159" s="13" t="s">
        <v>47</v>
      </c>
      <c r="F159" s="14" t="s">
        <v>1151</v>
      </c>
      <c r="G159" s="14" t="s">
        <v>1152</v>
      </c>
      <c r="H159" s="14" t="s">
        <v>753</v>
      </c>
      <c r="I159" s="14"/>
      <c r="J159" s="16" t="s">
        <v>51</v>
      </c>
      <c r="K159" s="14" t="s">
        <v>631</v>
      </c>
    </row>
    <row r="160" spans="1:11" ht="69.75" customHeight="1">
      <c r="A160" s="13" t="s">
        <v>1928</v>
      </c>
      <c r="B160" s="14" t="s">
        <v>1222</v>
      </c>
      <c r="C160" s="14" t="s">
        <v>1154</v>
      </c>
      <c r="D160" s="15" t="s">
        <v>43</v>
      </c>
      <c r="E160" s="13" t="s">
        <v>46</v>
      </c>
      <c r="F160" s="14" t="s">
        <v>1155</v>
      </c>
      <c r="G160" s="14" t="s">
        <v>1929</v>
      </c>
      <c r="H160" s="14" t="s">
        <v>1157</v>
      </c>
      <c r="I160" s="14"/>
      <c r="J160" s="16" t="s">
        <v>51</v>
      </c>
      <c r="K160" s="14"/>
    </row>
    <row r="161" spans="1:11" ht="27.75" customHeight="1">
      <c r="A161" s="17" t="s">
        <v>1930</v>
      </c>
      <c r="B161" s="18" t="s">
        <v>1222</v>
      </c>
      <c r="C161" s="18" t="s">
        <v>1159</v>
      </c>
      <c r="D161" s="19" t="s">
        <v>44</v>
      </c>
      <c r="E161" s="17" t="s">
        <v>46</v>
      </c>
      <c r="F161" s="18" t="s">
        <v>1160</v>
      </c>
      <c r="G161" s="18" t="s">
        <v>1161</v>
      </c>
      <c r="H161" s="18" t="s">
        <v>1162</v>
      </c>
      <c r="I161" s="18"/>
      <c r="J161" s="16" t="s">
        <v>51</v>
      </c>
      <c r="K161" s="18"/>
    </row>
    <row r="162" spans="1:11" ht="55.5" customHeight="1">
      <c r="A162" s="17" t="s">
        <v>1931</v>
      </c>
      <c r="B162" s="18" t="s">
        <v>1222</v>
      </c>
      <c r="C162" s="18" t="s">
        <v>1164</v>
      </c>
      <c r="D162" s="19" t="s">
        <v>44</v>
      </c>
      <c r="E162" s="17" t="s">
        <v>46</v>
      </c>
      <c r="F162" s="18" t="s">
        <v>1291</v>
      </c>
      <c r="G162" s="18" t="s">
        <v>1292</v>
      </c>
      <c r="H162" s="18" t="s">
        <v>1167</v>
      </c>
      <c r="I162" s="18"/>
      <c r="J162" s="16" t="s">
        <v>51</v>
      </c>
      <c r="K162" s="18" t="s">
        <v>631</v>
      </c>
    </row>
    <row r="163" spans="1:11" ht="42" customHeight="1">
      <c r="A163" s="17" t="s">
        <v>1932</v>
      </c>
      <c r="B163" s="18" t="s">
        <v>1222</v>
      </c>
      <c r="C163" s="18" t="s">
        <v>1169</v>
      </c>
      <c r="D163" s="19" t="s">
        <v>44</v>
      </c>
      <c r="E163" s="17" t="s">
        <v>47</v>
      </c>
      <c r="F163" s="18" t="s">
        <v>1170</v>
      </c>
      <c r="G163" s="18" t="s">
        <v>1171</v>
      </c>
      <c r="H163" s="18" t="s">
        <v>651</v>
      </c>
      <c r="I163" s="18"/>
      <c r="J163" s="16" t="s">
        <v>51</v>
      </c>
      <c r="K163" s="18" t="s">
        <v>631</v>
      </c>
    </row>
    <row r="164" spans="1:11" ht="55.5" customHeight="1">
      <c r="A164" s="13" t="s">
        <v>1933</v>
      </c>
      <c r="B164" s="14" t="s">
        <v>1222</v>
      </c>
      <c r="C164" s="14" t="s">
        <v>1295</v>
      </c>
      <c r="D164" s="15" t="s">
        <v>43</v>
      </c>
      <c r="E164" s="13" t="s">
        <v>46</v>
      </c>
      <c r="F164" s="14" t="s">
        <v>1296</v>
      </c>
      <c r="G164" s="14" t="s">
        <v>109</v>
      </c>
      <c r="H164" s="14" t="s">
        <v>1934</v>
      </c>
      <c r="I164" s="14"/>
      <c r="J164" s="16" t="s">
        <v>51</v>
      </c>
      <c r="K164" s="14" t="s">
        <v>1298</v>
      </c>
    </row>
    <row r="165" spans="1:11" ht="42" customHeight="1">
      <c r="A165" s="13" t="s">
        <v>1935</v>
      </c>
      <c r="B165" s="14" t="s">
        <v>1471</v>
      </c>
      <c r="C165" s="14" t="s">
        <v>1472</v>
      </c>
      <c r="D165" s="15" t="s">
        <v>43</v>
      </c>
      <c r="E165" s="13" t="s">
        <v>46</v>
      </c>
      <c r="F165" s="14" t="s">
        <v>1473</v>
      </c>
      <c r="G165" s="14" t="s">
        <v>1936</v>
      </c>
      <c r="H165" s="14" t="s">
        <v>743</v>
      </c>
      <c r="I165" s="14"/>
      <c r="J165" s="16" t="s">
        <v>51</v>
      </c>
      <c r="K165" s="14"/>
    </row>
    <row r="166" spans="1:11" ht="42" customHeight="1">
      <c r="A166" s="17" t="s">
        <v>1937</v>
      </c>
      <c r="B166" s="18" t="s">
        <v>1471</v>
      </c>
      <c r="C166" s="18" t="s">
        <v>1476</v>
      </c>
      <c r="D166" s="19" t="s">
        <v>44</v>
      </c>
      <c r="E166" s="17" t="s">
        <v>46</v>
      </c>
      <c r="F166" s="18" t="s">
        <v>1477</v>
      </c>
      <c r="G166" s="18" t="s">
        <v>1478</v>
      </c>
      <c r="H166" s="18" t="s">
        <v>1479</v>
      </c>
      <c r="I166" s="18"/>
      <c r="J166" s="16" t="s">
        <v>51</v>
      </c>
      <c r="K166" s="18"/>
    </row>
    <row r="167" spans="1:11" ht="42" customHeight="1">
      <c r="A167" s="13" t="s">
        <v>1938</v>
      </c>
      <c r="B167" s="14" t="s">
        <v>1471</v>
      </c>
      <c r="C167" s="14" t="s">
        <v>1481</v>
      </c>
      <c r="D167" s="15" t="s">
        <v>43</v>
      </c>
      <c r="E167" s="13" t="s">
        <v>47</v>
      </c>
      <c r="F167" s="14" t="s">
        <v>1482</v>
      </c>
      <c r="G167" s="14" t="s">
        <v>1483</v>
      </c>
      <c r="H167" s="14" t="s">
        <v>753</v>
      </c>
      <c r="I167" s="14"/>
      <c r="J167" s="16" t="s">
        <v>51</v>
      </c>
      <c r="K167" s="14" t="s">
        <v>631</v>
      </c>
    </row>
    <row r="168" spans="1:11" ht="42" customHeight="1">
      <c r="A168" s="13" t="s">
        <v>1939</v>
      </c>
      <c r="B168" s="14" t="s">
        <v>1471</v>
      </c>
      <c r="C168" s="14" t="s">
        <v>1485</v>
      </c>
      <c r="D168" s="15" t="s">
        <v>43</v>
      </c>
      <c r="E168" s="13" t="s">
        <v>46</v>
      </c>
      <c r="F168" s="14" t="s">
        <v>756</v>
      </c>
      <c r="G168" s="14" t="s">
        <v>1940</v>
      </c>
      <c r="H168" s="14" t="s">
        <v>758</v>
      </c>
      <c r="I168" s="14"/>
      <c r="J168" s="16" t="s">
        <v>51</v>
      </c>
      <c r="K168" s="14"/>
    </row>
    <row r="169" spans="1:11" ht="27.75" customHeight="1">
      <c r="A169" s="17" t="s">
        <v>1941</v>
      </c>
      <c r="B169" s="18" t="s">
        <v>1471</v>
      </c>
      <c r="C169" s="18" t="s">
        <v>1488</v>
      </c>
      <c r="D169" s="19" t="s">
        <v>44</v>
      </c>
      <c r="E169" s="17" t="s">
        <v>46</v>
      </c>
      <c r="F169" s="18" t="s">
        <v>1489</v>
      </c>
      <c r="G169" s="18" t="s">
        <v>1490</v>
      </c>
      <c r="H169" s="18" t="s">
        <v>1491</v>
      </c>
      <c r="I169" s="18"/>
      <c r="J169" s="16" t="s">
        <v>51</v>
      </c>
      <c r="K169" s="18"/>
    </row>
    <row r="170" spans="1:11" ht="42" customHeight="1">
      <c r="A170" s="17" t="s">
        <v>1942</v>
      </c>
      <c r="B170" s="18" t="s">
        <v>1471</v>
      </c>
      <c r="C170" s="18" t="s">
        <v>1493</v>
      </c>
      <c r="D170" s="19" t="s">
        <v>44</v>
      </c>
      <c r="E170" s="17" t="s">
        <v>46</v>
      </c>
      <c r="F170" s="18" t="s">
        <v>766</v>
      </c>
      <c r="G170" s="18" t="s">
        <v>1494</v>
      </c>
      <c r="H170" s="18" t="s">
        <v>768</v>
      </c>
      <c r="I170" s="18"/>
      <c r="J170" s="16" t="s">
        <v>51</v>
      </c>
      <c r="K170" s="18"/>
    </row>
    <row r="171" spans="1:11" ht="69.75" customHeight="1">
      <c r="A171" s="13" t="s">
        <v>1943</v>
      </c>
      <c r="B171" s="14" t="s">
        <v>1471</v>
      </c>
      <c r="C171" s="14" t="s">
        <v>1496</v>
      </c>
      <c r="D171" s="15" t="s">
        <v>43</v>
      </c>
      <c r="E171" s="13" t="s">
        <v>46</v>
      </c>
      <c r="F171" s="14" t="s">
        <v>1497</v>
      </c>
      <c r="G171" s="14" t="s">
        <v>1944</v>
      </c>
      <c r="H171" s="14" t="s">
        <v>1499</v>
      </c>
      <c r="I171" s="14"/>
      <c r="J171" s="16" t="s">
        <v>51</v>
      </c>
      <c r="K171" s="14" t="s">
        <v>631</v>
      </c>
    </row>
    <row r="172" spans="1:11" ht="69.75" customHeight="1">
      <c r="A172" s="13" t="s">
        <v>1945</v>
      </c>
      <c r="B172" s="14" t="s">
        <v>1471</v>
      </c>
      <c r="C172" s="14" t="s">
        <v>1501</v>
      </c>
      <c r="D172" s="15" t="s">
        <v>43</v>
      </c>
      <c r="E172" s="13" t="s">
        <v>46</v>
      </c>
      <c r="F172" s="14" t="s">
        <v>1502</v>
      </c>
      <c r="G172" s="14" t="s">
        <v>1946</v>
      </c>
      <c r="H172" s="14" t="s">
        <v>1504</v>
      </c>
      <c r="I172" s="14"/>
      <c r="J172" s="16" t="s">
        <v>51</v>
      </c>
      <c r="K172" s="14"/>
    </row>
    <row r="173" spans="1:11" ht="27.75" customHeight="1">
      <c r="A173" s="17" t="s">
        <v>1947</v>
      </c>
      <c r="B173" s="18" t="s">
        <v>1471</v>
      </c>
      <c r="C173" s="18" t="s">
        <v>1506</v>
      </c>
      <c r="D173" s="19" t="s">
        <v>44</v>
      </c>
      <c r="E173" s="17" t="s">
        <v>46</v>
      </c>
      <c r="F173" s="18" t="s">
        <v>1507</v>
      </c>
      <c r="G173" s="18" t="s">
        <v>1508</v>
      </c>
      <c r="H173" s="18" t="s">
        <v>1509</v>
      </c>
      <c r="I173" s="18"/>
      <c r="J173" s="16" t="s">
        <v>51</v>
      </c>
      <c r="K173" s="18"/>
    </row>
    <row r="174" spans="1:11" ht="55.5" customHeight="1">
      <c r="A174" s="17" t="s">
        <v>1948</v>
      </c>
      <c r="B174" s="18" t="s">
        <v>1471</v>
      </c>
      <c r="C174" s="18" t="s">
        <v>1511</v>
      </c>
      <c r="D174" s="19" t="s">
        <v>44</v>
      </c>
      <c r="E174" s="17" t="s">
        <v>46</v>
      </c>
      <c r="F174" s="18" t="s">
        <v>1512</v>
      </c>
      <c r="G174" s="18" t="s">
        <v>1513</v>
      </c>
      <c r="H174" s="18" t="s">
        <v>1514</v>
      </c>
      <c r="I174" s="18"/>
      <c r="J174" s="16" t="s">
        <v>51</v>
      </c>
      <c r="K174" s="18" t="s">
        <v>631</v>
      </c>
    </row>
    <row r="175" spans="1:11" ht="55.5" customHeight="1">
      <c r="A175" s="17" t="s">
        <v>1949</v>
      </c>
      <c r="B175" s="18" t="s">
        <v>1471</v>
      </c>
      <c r="C175" s="18" t="s">
        <v>1516</v>
      </c>
      <c r="D175" s="19" t="s">
        <v>44</v>
      </c>
      <c r="E175" s="17" t="s">
        <v>47</v>
      </c>
      <c r="F175" s="18" t="s">
        <v>1517</v>
      </c>
      <c r="G175" s="18" t="s">
        <v>1518</v>
      </c>
      <c r="H175" s="18" t="s">
        <v>651</v>
      </c>
      <c r="I175" s="18"/>
      <c r="J175" s="16" t="s">
        <v>51</v>
      </c>
      <c r="K175" s="18" t="s">
        <v>631</v>
      </c>
    </row>
    <row r="176" spans="1:11" ht="84" customHeight="1">
      <c r="A176" s="13" t="s">
        <v>1950</v>
      </c>
      <c r="B176" s="14" t="s">
        <v>1471</v>
      </c>
      <c r="C176" s="14" t="s">
        <v>1520</v>
      </c>
      <c r="D176" s="15" t="s">
        <v>43</v>
      </c>
      <c r="E176" s="13" t="s">
        <v>45</v>
      </c>
      <c r="F176" s="14" t="s">
        <v>1521</v>
      </c>
      <c r="G176" s="14" t="s">
        <v>1951</v>
      </c>
      <c r="H176" s="14" t="s">
        <v>966</v>
      </c>
      <c r="I176" s="14"/>
      <c r="J176" s="16" t="s">
        <v>51</v>
      </c>
      <c r="K176" s="14"/>
    </row>
    <row r="177" spans="1:11" ht="27.75" customHeight="1">
      <c r="A177" s="17" t="s">
        <v>1952</v>
      </c>
      <c r="B177" s="18" t="s">
        <v>1471</v>
      </c>
      <c r="C177" s="18" t="s">
        <v>1524</v>
      </c>
      <c r="D177" s="19" t="s">
        <v>44</v>
      </c>
      <c r="E177" s="17" t="s">
        <v>45</v>
      </c>
      <c r="F177" s="18" t="s">
        <v>1525</v>
      </c>
      <c r="G177" s="18" t="s">
        <v>1526</v>
      </c>
      <c r="H177" s="18" t="s">
        <v>1527</v>
      </c>
      <c r="I177" s="18"/>
      <c r="J177" s="16" t="s">
        <v>51</v>
      </c>
      <c r="K177" s="18"/>
    </row>
    <row r="178" spans="1:11" ht="55.5" customHeight="1">
      <c r="A178" s="17" t="s">
        <v>1953</v>
      </c>
      <c r="B178" s="18" t="s">
        <v>1471</v>
      </c>
      <c r="C178" s="18" t="s">
        <v>1529</v>
      </c>
      <c r="D178" s="19" t="s">
        <v>44</v>
      </c>
      <c r="E178" s="17" t="s">
        <v>45</v>
      </c>
      <c r="F178" s="18" t="s">
        <v>1530</v>
      </c>
      <c r="G178" s="18" t="s">
        <v>1005</v>
      </c>
      <c r="H178" s="18" t="s">
        <v>976</v>
      </c>
      <c r="I178" s="18"/>
      <c r="J178" s="16" t="s">
        <v>51</v>
      </c>
      <c r="K178" s="18"/>
    </row>
    <row r="179" spans="1:11" ht="42" customHeight="1">
      <c r="A179" s="17" t="s">
        <v>1954</v>
      </c>
      <c r="B179" s="18" t="s">
        <v>1471</v>
      </c>
      <c r="C179" s="18" t="s">
        <v>1532</v>
      </c>
      <c r="D179" s="19" t="s">
        <v>44</v>
      </c>
      <c r="E179" s="17" t="s">
        <v>46</v>
      </c>
      <c r="F179" s="18" t="s">
        <v>1533</v>
      </c>
      <c r="G179" s="18" t="s">
        <v>980</v>
      </c>
      <c r="H179" s="18" t="s">
        <v>1534</v>
      </c>
      <c r="I179" s="18"/>
      <c r="J179" s="16" t="s">
        <v>51</v>
      </c>
      <c r="K179" s="18"/>
    </row>
    <row r="180" spans="1:11" ht="27.75" customHeight="1">
      <c r="A180" s="17" t="s">
        <v>1955</v>
      </c>
      <c r="B180" s="18" t="s">
        <v>1471</v>
      </c>
      <c r="C180" s="18" t="s">
        <v>1536</v>
      </c>
      <c r="D180" s="19" t="s">
        <v>44</v>
      </c>
      <c r="E180" s="17" t="s">
        <v>46</v>
      </c>
      <c r="F180" s="18" t="s">
        <v>1537</v>
      </c>
      <c r="G180" s="18" t="s">
        <v>1956</v>
      </c>
      <c r="H180" s="18" t="s">
        <v>986</v>
      </c>
      <c r="I180" s="18"/>
      <c r="J180" s="16" t="s">
        <v>51</v>
      </c>
      <c r="K180" s="18"/>
    </row>
    <row r="181" spans="1:11" ht="42" customHeight="1">
      <c r="A181" s="17" t="s">
        <v>1957</v>
      </c>
      <c r="B181" s="18" t="s">
        <v>1471</v>
      </c>
      <c r="C181" s="18" t="s">
        <v>1540</v>
      </c>
      <c r="D181" s="19" t="s">
        <v>44</v>
      </c>
      <c r="E181" s="17" t="s">
        <v>46</v>
      </c>
      <c r="F181" s="18" t="s">
        <v>1541</v>
      </c>
      <c r="G181" s="18" t="s">
        <v>1958</v>
      </c>
      <c r="H181" s="18" t="s">
        <v>991</v>
      </c>
      <c r="I181" s="18"/>
      <c r="J181" s="16" t="s">
        <v>51</v>
      </c>
      <c r="K181" s="18"/>
    </row>
    <row r="182" spans="1:11" ht="42" customHeight="1">
      <c r="A182" s="13" t="s">
        <v>1959</v>
      </c>
      <c r="B182" s="14" t="s">
        <v>1471</v>
      </c>
      <c r="C182" s="14" t="s">
        <v>1544</v>
      </c>
      <c r="D182" s="15" t="s">
        <v>43</v>
      </c>
      <c r="E182" s="13" t="s">
        <v>46</v>
      </c>
      <c r="F182" s="14" t="s">
        <v>1960</v>
      </c>
      <c r="G182" s="14" t="s">
        <v>1961</v>
      </c>
      <c r="H182" s="14" t="s">
        <v>1547</v>
      </c>
      <c r="I182" s="14"/>
      <c r="J182" s="16" t="s">
        <v>51</v>
      </c>
      <c r="K182" s="14"/>
    </row>
    <row r="183" spans="1:11" ht="69.75" customHeight="1">
      <c r="A183" s="13" t="s">
        <v>1962</v>
      </c>
      <c r="B183" s="14" t="s">
        <v>1549</v>
      </c>
      <c r="C183" s="14" t="s">
        <v>1550</v>
      </c>
      <c r="D183" s="15" t="s">
        <v>43</v>
      </c>
      <c r="E183" s="13" t="s">
        <v>45</v>
      </c>
      <c r="F183" s="14" t="s">
        <v>1551</v>
      </c>
      <c r="G183" s="14" t="s">
        <v>1963</v>
      </c>
      <c r="H183" s="14" t="s">
        <v>966</v>
      </c>
      <c r="I183" s="14"/>
      <c r="J183" s="16" t="s">
        <v>51</v>
      </c>
      <c r="K183" s="14" t="s">
        <v>631</v>
      </c>
    </row>
    <row r="184" spans="1:11" ht="55.5" customHeight="1">
      <c r="A184" s="17" t="s">
        <v>1964</v>
      </c>
      <c r="B184" s="18" t="s">
        <v>1549</v>
      </c>
      <c r="C184" s="18" t="s">
        <v>1554</v>
      </c>
      <c r="D184" s="19" t="s">
        <v>44</v>
      </c>
      <c r="E184" s="17" t="s">
        <v>45</v>
      </c>
      <c r="F184" s="18" t="s">
        <v>1555</v>
      </c>
      <c r="G184" s="18" t="s">
        <v>1005</v>
      </c>
      <c r="H184" s="18" t="s">
        <v>976</v>
      </c>
      <c r="I184" s="18"/>
      <c r="J184" s="16" t="s">
        <v>51</v>
      </c>
      <c r="K184" s="18"/>
    </row>
    <row r="185" spans="1:11" ht="55.5" customHeight="1">
      <c r="A185" s="17" t="s">
        <v>1965</v>
      </c>
      <c r="B185" s="18" t="s">
        <v>1549</v>
      </c>
      <c r="C185" s="18" t="s">
        <v>1557</v>
      </c>
      <c r="D185" s="19" t="s">
        <v>44</v>
      </c>
      <c r="E185" s="17" t="s">
        <v>46</v>
      </c>
      <c r="F185" s="18" t="s">
        <v>1558</v>
      </c>
      <c r="G185" s="18" t="s">
        <v>980</v>
      </c>
      <c r="H185" s="18" t="s">
        <v>1559</v>
      </c>
      <c r="I185" s="18"/>
      <c r="J185" s="16" t="s">
        <v>51</v>
      </c>
      <c r="K185" s="18"/>
    </row>
    <row r="186" spans="1:11" ht="42" customHeight="1">
      <c r="A186" s="17" t="s">
        <v>1966</v>
      </c>
      <c r="B186" s="18" t="s">
        <v>1549</v>
      </c>
      <c r="C186" s="18" t="s">
        <v>1561</v>
      </c>
      <c r="D186" s="19" t="s">
        <v>44</v>
      </c>
      <c r="E186" s="17" t="s">
        <v>46</v>
      </c>
      <c r="F186" s="18" t="s">
        <v>1562</v>
      </c>
      <c r="G186" s="18" t="s">
        <v>1967</v>
      </c>
      <c r="H186" s="18" t="s">
        <v>986</v>
      </c>
      <c r="I186" s="18"/>
      <c r="J186" s="16" t="s">
        <v>51</v>
      </c>
      <c r="K186" s="18"/>
    </row>
    <row r="187" spans="1:11" ht="42" customHeight="1">
      <c r="A187" s="17" t="s">
        <v>1968</v>
      </c>
      <c r="B187" s="18" t="s">
        <v>1549</v>
      </c>
      <c r="C187" s="18" t="s">
        <v>1565</v>
      </c>
      <c r="D187" s="19" t="s">
        <v>44</v>
      </c>
      <c r="E187" s="17" t="s">
        <v>46</v>
      </c>
      <c r="F187" s="18" t="s">
        <v>1566</v>
      </c>
      <c r="G187" s="18" t="s">
        <v>1969</v>
      </c>
      <c r="H187" s="18" t="s">
        <v>991</v>
      </c>
      <c r="I187" s="18"/>
      <c r="J187" s="16" t="s">
        <v>51</v>
      </c>
      <c r="K187" s="18"/>
    </row>
    <row r="188" spans="1:11" ht="69.75" customHeight="1">
      <c r="A188" s="13" t="s">
        <v>1970</v>
      </c>
      <c r="B188" s="14" t="s">
        <v>1549</v>
      </c>
      <c r="C188" s="14" t="s">
        <v>1569</v>
      </c>
      <c r="D188" s="15" t="s">
        <v>43</v>
      </c>
      <c r="E188" s="13" t="s">
        <v>45</v>
      </c>
      <c r="F188" s="14" t="s">
        <v>1570</v>
      </c>
      <c r="G188" s="14" t="s">
        <v>1971</v>
      </c>
      <c r="H188" s="14" t="s">
        <v>966</v>
      </c>
      <c r="I188" s="14"/>
      <c r="J188" s="16" t="s">
        <v>51</v>
      </c>
      <c r="K188" s="14" t="s">
        <v>631</v>
      </c>
    </row>
    <row r="189" spans="1:11" ht="55.5" customHeight="1">
      <c r="A189" s="17" t="s">
        <v>1972</v>
      </c>
      <c r="B189" s="18" t="s">
        <v>1549</v>
      </c>
      <c r="C189" s="18" t="s">
        <v>1573</v>
      </c>
      <c r="D189" s="19" t="s">
        <v>44</v>
      </c>
      <c r="E189" s="17" t="s">
        <v>45</v>
      </c>
      <c r="F189" s="18" t="s">
        <v>1574</v>
      </c>
      <c r="G189" s="18" t="s">
        <v>1575</v>
      </c>
      <c r="H189" s="18" t="s">
        <v>976</v>
      </c>
      <c r="I189" s="18"/>
      <c r="J189" s="16" t="s">
        <v>51</v>
      </c>
      <c r="K189" s="18"/>
    </row>
    <row r="190" spans="1:11" ht="55.5" customHeight="1">
      <c r="A190" s="17" t="s">
        <v>1973</v>
      </c>
      <c r="B190" s="18" t="s">
        <v>1549</v>
      </c>
      <c r="C190" s="18" t="s">
        <v>1577</v>
      </c>
      <c r="D190" s="19" t="s">
        <v>44</v>
      </c>
      <c r="E190" s="17" t="s">
        <v>46</v>
      </c>
      <c r="F190" s="18" t="s">
        <v>1578</v>
      </c>
      <c r="G190" s="18" t="s">
        <v>980</v>
      </c>
      <c r="H190" s="18" t="s">
        <v>1579</v>
      </c>
      <c r="I190" s="18"/>
      <c r="J190" s="16" t="s">
        <v>51</v>
      </c>
      <c r="K190" s="18"/>
    </row>
    <row r="191" spans="1:11" ht="42" customHeight="1">
      <c r="A191" s="17" t="s">
        <v>1974</v>
      </c>
      <c r="B191" s="18" t="s">
        <v>1549</v>
      </c>
      <c r="C191" s="18" t="s">
        <v>1581</v>
      </c>
      <c r="D191" s="19" t="s">
        <v>44</v>
      </c>
      <c r="E191" s="17" t="s">
        <v>46</v>
      </c>
      <c r="F191" s="18" t="s">
        <v>1582</v>
      </c>
      <c r="G191" s="18" t="s">
        <v>1975</v>
      </c>
      <c r="H191" s="18" t="s">
        <v>986</v>
      </c>
      <c r="I191" s="18"/>
      <c r="J191" s="16" t="s">
        <v>51</v>
      </c>
      <c r="K191" s="18"/>
    </row>
    <row r="192" spans="1:11" ht="42" customHeight="1">
      <c r="A192" s="17" t="s">
        <v>1976</v>
      </c>
      <c r="B192" s="18" t="s">
        <v>1549</v>
      </c>
      <c r="C192" s="18" t="s">
        <v>1585</v>
      </c>
      <c r="D192" s="19" t="s">
        <v>44</v>
      </c>
      <c r="E192" s="17" t="s">
        <v>46</v>
      </c>
      <c r="F192" s="18" t="s">
        <v>1586</v>
      </c>
      <c r="G192" s="18" t="s">
        <v>1977</v>
      </c>
      <c r="H192" s="18" t="s">
        <v>991</v>
      </c>
      <c r="I192" s="18"/>
      <c r="J192" s="16" t="s">
        <v>51</v>
      </c>
      <c r="K192" s="18"/>
    </row>
    <row r="193" spans="1:11" ht="55.5" customHeight="1">
      <c r="A193" s="17" t="s">
        <v>1978</v>
      </c>
      <c r="B193" s="18" t="s">
        <v>1549</v>
      </c>
      <c r="C193" s="18" t="s">
        <v>1589</v>
      </c>
      <c r="D193" s="19" t="s">
        <v>44</v>
      </c>
      <c r="E193" s="17" t="s">
        <v>46</v>
      </c>
      <c r="F193" s="18" t="s">
        <v>1590</v>
      </c>
      <c r="G193" s="18" t="s">
        <v>1591</v>
      </c>
      <c r="H193" s="18" t="s">
        <v>1592</v>
      </c>
      <c r="I193" s="18"/>
      <c r="J193" s="16" t="s">
        <v>51</v>
      </c>
      <c r="K193" s="18"/>
    </row>
    <row r="194" spans="1:11" ht="55.5" customHeight="1">
      <c r="A194" s="13" t="s">
        <v>1979</v>
      </c>
      <c r="B194" s="14" t="s">
        <v>1594</v>
      </c>
      <c r="C194" s="14" t="s">
        <v>1595</v>
      </c>
      <c r="D194" s="15" t="s">
        <v>43</v>
      </c>
      <c r="E194" s="13" t="s">
        <v>45</v>
      </c>
      <c r="F194" s="14" t="s">
        <v>1596</v>
      </c>
      <c r="G194" s="14" t="s">
        <v>109</v>
      </c>
      <c r="H194" s="14" t="s">
        <v>1597</v>
      </c>
      <c r="I194" s="14"/>
      <c r="J194" s="16" t="s">
        <v>51</v>
      </c>
      <c r="K194" s="14"/>
    </row>
    <row r="195" spans="1:11" ht="42" customHeight="1">
      <c r="A195" s="17" t="s">
        <v>1980</v>
      </c>
      <c r="B195" s="18" t="s">
        <v>1594</v>
      </c>
      <c r="C195" s="18" t="s">
        <v>1599</v>
      </c>
      <c r="D195" s="19" t="s">
        <v>44</v>
      </c>
      <c r="E195" s="17" t="s">
        <v>45</v>
      </c>
      <c r="F195" s="18" t="s">
        <v>1600</v>
      </c>
      <c r="G195" s="18" t="s">
        <v>109</v>
      </c>
      <c r="H195" s="18" t="s">
        <v>1601</v>
      </c>
      <c r="I195" s="18"/>
      <c r="J195" s="16" t="s">
        <v>51</v>
      </c>
      <c r="K195" s="18"/>
    </row>
    <row r="196" spans="1:11" ht="27.75" customHeight="1">
      <c r="A196" s="13" t="s">
        <v>1981</v>
      </c>
      <c r="B196" s="14" t="s">
        <v>1594</v>
      </c>
      <c r="C196" s="14" t="s">
        <v>1603</v>
      </c>
      <c r="D196" s="15" t="s">
        <v>43</v>
      </c>
      <c r="E196" s="13" t="s">
        <v>46</v>
      </c>
      <c r="F196" s="14" t="s">
        <v>1604</v>
      </c>
      <c r="G196" s="14" t="s">
        <v>109</v>
      </c>
      <c r="H196" s="14" t="s">
        <v>1605</v>
      </c>
      <c r="I196" s="14"/>
      <c r="J196" s="16" t="s">
        <v>51</v>
      </c>
      <c r="K196" s="14"/>
    </row>
    <row r="197" spans="1:11" ht="42" customHeight="1">
      <c r="A197" s="17" t="s">
        <v>1982</v>
      </c>
      <c r="B197" s="18" t="s">
        <v>1594</v>
      </c>
      <c r="C197" s="18" t="s">
        <v>1607</v>
      </c>
      <c r="D197" s="19" t="s">
        <v>44</v>
      </c>
      <c r="E197" s="17" t="s">
        <v>46</v>
      </c>
      <c r="F197" s="18" t="s">
        <v>1608</v>
      </c>
      <c r="G197" s="18" t="s">
        <v>109</v>
      </c>
      <c r="H197" s="18" t="s">
        <v>1609</v>
      </c>
      <c r="I197" s="18"/>
      <c r="J197" s="16" t="s">
        <v>51</v>
      </c>
      <c r="K197" s="18"/>
    </row>
    <row r="198" spans="1:11" ht="55.5" customHeight="1">
      <c r="A198" s="13" t="s">
        <v>1983</v>
      </c>
      <c r="B198" s="14" t="s">
        <v>1594</v>
      </c>
      <c r="C198" s="14" t="s">
        <v>1984</v>
      </c>
      <c r="D198" s="15" t="s">
        <v>43</v>
      </c>
      <c r="E198" s="13" t="s">
        <v>47</v>
      </c>
      <c r="F198" s="14" t="s">
        <v>1985</v>
      </c>
      <c r="G198" s="14" t="s">
        <v>109</v>
      </c>
      <c r="H198" s="14" t="s">
        <v>1986</v>
      </c>
      <c r="I198" s="14"/>
      <c r="J198" s="16" t="s">
        <v>51</v>
      </c>
      <c r="K198" s="14" t="s">
        <v>631</v>
      </c>
    </row>
    <row r="199" spans="1:11" ht="69.75" customHeight="1">
      <c r="A199" s="13" t="s">
        <v>1987</v>
      </c>
      <c r="B199" s="14" t="s">
        <v>1611</v>
      </c>
      <c r="C199" s="14" t="s">
        <v>1612</v>
      </c>
      <c r="D199" s="15" t="s">
        <v>43</v>
      </c>
      <c r="E199" s="13" t="s">
        <v>45</v>
      </c>
      <c r="F199" s="14" t="s">
        <v>1613</v>
      </c>
      <c r="G199" s="14" t="s">
        <v>1614</v>
      </c>
      <c r="H199" s="14" t="s">
        <v>1615</v>
      </c>
      <c r="I199" s="14"/>
      <c r="J199" s="16" t="s">
        <v>51</v>
      </c>
      <c r="K199" s="14" t="s">
        <v>1616</v>
      </c>
    </row>
    <row r="200" spans="1:11" ht="42" customHeight="1">
      <c r="A200" s="17" t="s">
        <v>1988</v>
      </c>
      <c r="B200" s="18" t="s">
        <v>1611</v>
      </c>
      <c r="C200" s="18" t="s">
        <v>1618</v>
      </c>
      <c r="D200" s="19" t="s">
        <v>44</v>
      </c>
      <c r="E200" s="17" t="s">
        <v>45</v>
      </c>
      <c r="F200" s="18" t="s">
        <v>1619</v>
      </c>
      <c r="G200" s="18" t="s">
        <v>1620</v>
      </c>
      <c r="H200" s="18" t="s">
        <v>1621</v>
      </c>
      <c r="I200" s="18"/>
      <c r="J200" s="16" t="s">
        <v>51</v>
      </c>
      <c r="K200" s="18" t="s">
        <v>631</v>
      </c>
    </row>
    <row r="201" spans="1:11" ht="42" customHeight="1">
      <c r="A201" s="13" t="s">
        <v>1989</v>
      </c>
      <c r="B201" s="14" t="s">
        <v>1611</v>
      </c>
      <c r="C201" s="14" t="s">
        <v>1623</v>
      </c>
      <c r="D201" s="15" t="s">
        <v>43</v>
      </c>
      <c r="E201" s="13" t="s">
        <v>47</v>
      </c>
      <c r="F201" s="14" t="s">
        <v>1624</v>
      </c>
      <c r="G201" s="14" t="s">
        <v>109</v>
      </c>
      <c r="H201" s="14" t="s">
        <v>1625</v>
      </c>
      <c r="I201" s="14"/>
      <c r="J201" s="16" t="s">
        <v>51</v>
      </c>
      <c r="K201" s="14"/>
    </row>
    <row r="202" spans="1:11" ht="55.5" customHeight="1">
      <c r="A202" s="13" t="s">
        <v>1990</v>
      </c>
      <c r="B202" s="14" t="s">
        <v>1611</v>
      </c>
      <c r="C202" s="14" t="s">
        <v>1991</v>
      </c>
      <c r="D202" s="15" t="s">
        <v>43</v>
      </c>
      <c r="E202" s="13" t="s">
        <v>47</v>
      </c>
      <c r="F202" s="14" t="s">
        <v>1992</v>
      </c>
      <c r="G202" s="14" t="s">
        <v>109</v>
      </c>
      <c r="H202" s="14" t="s">
        <v>1993</v>
      </c>
      <c r="I202" s="14"/>
      <c r="J202" s="16" t="s">
        <v>51</v>
      </c>
      <c r="K202" s="14" t="s">
        <v>631</v>
      </c>
    </row>
    <row r="203" spans="1:11" ht="84" customHeight="1">
      <c r="A203" s="13" t="s">
        <v>1994</v>
      </c>
      <c r="B203" s="14" t="s">
        <v>1627</v>
      </c>
      <c r="C203" s="14" t="s">
        <v>1628</v>
      </c>
      <c r="D203" s="15" t="s">
        <v>43</v>
      </c>
      <c r="E203" s="13" t="s">
        <v>45</v>
      </c>
      <c r="F203" s="14" t="s">
        <v>1629</v>
      </c>
      <c r="G203" s="14" t="s">
        <v>1630</v>
      </c>
      <c r="H203" s="14" t="s">
        <v>1995</v>
      </c>
      <c r="I203" s="14"/>
      <c r="J203" s="16" t="s">
        <v>51</v>
      </c>
      <c r="K203" s="14"/>
    </row>
    <row r="204" spans="1:11" ht="55.5" customHeight="1">
      <c r="A204" s="13" t="s">
        <v>1996</v>
      </c>
      <c r="B204" s="14" t="s">
        <v>1627</v>
      </c>
      <c r="C204" s="14" t="s">
        <v>1633</v>
      </c>
      <c r="D204" s="15" t="s">
        <v>43</v>
      </c>
      <c r="E204" s="13" t="s">
        <v>46</v>
      </c>
      <c r="F204" s="14" t="s">
        <v>1997</v>
      </c>
      <c r="G204" s="14" t="s">
        <v>109</v>
      </c>
      <c r="H204" s="14" t="s">
        <v>1635</v>
      </c>
      <c r="I204" s="14"/>
      <c r="J204" s="16" t="s">
        <v>51</v>
      </c>
      <c r="K204" s="14"/>
    </row>
    <row r="205" spans="1:11" ht="42" customHeight="1">
      <c r="A205" s="13" t="s">
        <v>1998</v>
      </c>
      <c r="B205" s="14" t="s">
        <v>1627</v>
      </c>
      <c r="C205" s="14" t="s">
        <v>1637</v>
      </c>
      <c r="D205" s="15" t="s">
        <v>43</v>
      </c>
      <c r="E205" s="13" t="s">
        <v>46</v>
      </c>
      <c r="F205" s="14" t="s">
        <v>1999</v>
      </c>
      <c r="G205" s="14" t="s">
        <v>2000</v>
      </c>
      <c r="H205" s="14" t="s">
        <v>1640</v>
      </c>
      <c r="I205" s="14"/>
      <c r="J205" s="16" t="s">
        <v>51</v>
      </c>
      <c r="K205" s="14"/>
    </row>
    <row r="206" spans="1:11" ht="55.5" customHeight="1">
      <c r="A206" s="17" t="s">
        <v>2001</v>
      </c>
      <c r="B206" s="18" t="s">
        <v>1627</v>
      </c>
      <c r="C206" s="18" t="s">
        <v>1642</v>
      </c>
      <c r="D206" s="19" t="s">
        <v>44</v>
      </c>
      <c r="E206" s="17" t="s">
        <v>45</v>
      </c>
      <c r="F206" s="18" t="s">
        <v>1643</v>
      </c>
      <c r="G206" s="18" t="s">
        <v>1644</v>
      </c>
      <c r="H206" s="18" t="s">
        <v>1645</v>
      </c>
      <c r="I206" s="18"/>
      <c r="J206" s="16" t="s">
        <v>51</v>
      </c>
      <c r="K206" s="18"/>
    </row>
    <row r="207" spans="1:11" ht="55.5" customHeight="1">
      <c r="A207" s="13" t="s">
        <v>2002</v>
      </c>
      <c r="B207" s="14" t="s">
        <v>1627</v>
      </c>
      <c r="C207" s="14" t="s">
        <v>1647</v>
      </c>
      <c r="D207" s="15" t="s">
        <v>43</v>
      </c>
      <c r="E207" s="13" t="s">
        <v>45</v>
      </c>
      <c r="F207" s="14" t="s">
        <v>1648</v>
      </c>
      <c r="G207" s="14" t="s">
        <v>1649</v>
      </c>
      <c r="H207" s="14" t="s">
        <v>1650</v>
      </c>
      <c r="I207" s="14"/>
      <c r="J207" s="16" t="s">
        <v>51</v>
      </c>
      <c r="K207" s="14"/>
    </row>
    <row r="208" spans="1:11" ht="69.75" customHeight="1">
      <c r="A208" s="13" t="s">
        <v>2003</v>
      </c>
      <c r="B208" s="14" t="s">
        <v>1627</v>
      </c>
      <c r="C208" s="14" t="s">
        <v>2004</v>
      </c>
      <c r="D208" s="15" t="s">
        <v>43</v>
      </c>
      <c r="E208" s="13" t="s">
        <v>46</v>
      </c>
      <c r="F208" s="14" t="s">
        <v>2005</v>
      </c>
      <c r="G208" s="14" t="s">
        <v>109</v>
      </c>
      <c r="H208" s="14" t="s">
        <v>2006</v>
      </c>
      <c r="I208" s="14"/>
      <c r="J208" s="16" t="s">
        <v>51</v>
      </c>
      <c r="K208" s="14"/>
    </row>
    <row r="209" spans="1:11" ht="84" customHeight="1">
      <c r="A209" s="13" t="s">
        <v>2007</v>
      </c>
      <c r="B209" s="14" t="s">
        <v>1652</v>
      </c>
      <c r="C209" s="14" t="s">
        <v>1653</v>
      </c>
      <c r="D209" s="15" t="s">
        <v>43</v>
      </c>
      <c r="E209" s="13" t="s">
        <v>45</v>
      </c>
      <c r="F209" s="14" t="s">
        <v>1654</v>
      </c>
      <c r="G209" s="14" t="s">
        <v>1655</v>
      </c>
      <c r="H209" s="14" t="s">
        <v>1656</v>
      </c>
      <c r="I209" s="14"/>
      <c r="J209" s="16" t="s">
        <v>51</v>
      </c>
      <c r="K209" s="14" t="s">
        <v>2008</v>
      </c>
    </row>
    <row r="210" spans="1:11" ht="55.5" customHeight="1">
      <c r="A210" s="13" t="s">
        <v>2009</v>
      </c>
      <c r="B210" s="14" t="s">
        <v>1652</v>
      </c>
      <c r="C210" s="14" t="s">
        <v>1659</v>
      </c>
      <c r="D210" s="15" t="s">
        <v>43</v>
      </c>
      <c r="E210" s="13" t="s">
        <v>46</v>
      </c>
      <c r="F210" s="14" t="s">
        <v>1660</v>
      </c>
      <c r="G210" s="14" t="s">
        <v>109</v>
      </c>
      <c r="H210" s="14" t="s">
        <v>1661</v>
      </c>
      <c r="I210" s="14"/>
      <c r="J210" s="16" t="s">
        <v>51</v>
      </c>
      <c r="K210" s="14"/>
    </row>
    <row r="211" spans="1:11" ht="42" customHeight="1">
      <c r="A211" s="17" t="s">
        <v>2010</v>
      </c>
      <c r="B211" s="18" t="s">
        <v>1652</v>
      </c>
      <c r="C211" s="18" t="s">
        <v>1663</v>
      </c>
      <c r="D211" s="19" t="s">
        <v>44</v>
      </c>
      <c r="E211" s="17" t="s">
        <v>45</v>
      </c>
      <c r="F211" s="18" t="s">
        <v>1664</v>
      </c>
      <c r="G211" s="18" t="s">
        <v>1665</v>
      </c>
      <c r="H211" s="18" t="s">
        <v>1666</v>
      </c>
      <c r="I211" s="18"/>
      <c r="J211" s="16" t="s">
        <v>51</v>
      </c>
      <c r="K211" s="18"/>
    </row>
    <row r="212" spans="1:11" ht="55.5" customHeight="1">
      <c r="A212" s="13" t="s">
        <v>2011</v>
      </c>
      <c r="B212" s="14" t="s">
        <v>1652</v>
      </c>
      <c r="C212" s="14" t="s">
        <v>1668</v>
      </c>
      <c r="D212" s="15" t="s">
        <v>43</v>
      </c>
      <c r="E212" s="13" t="s">
        <v>46</v>
      </c>
      <c r="F212" s="14" t="s">
        <v>2012</v>
      </c>
      <c r="G212" s="14" t="s">
        <v>109</v>
      </c>
      <c r="H212" s="14" t="s">
        <v>2013</v>
      </c>
      <c r="I212" s="14"/>
      <c r="J212" s="16" t="s">
        <v>51</v>
      </c>
      <c r="K212" s="14"/>
    </row>
    <row r="213" spans="1:11" ht="42" customHeight="1">
      <c r="A213" s="17" t="s">
        <v>2014</v>
      </c>
      <c r="B213" s="18" t="s">
        <v>1652</v>
      </c>
      <c r="C213" s="18" t="s">
        <v>1672</v>
      </c>
      <c r="D213" s="19" t="s">
        <v>44</v>
      </c>
      <c r="E213" s="17" t="s">
        <v>45</v>
      </c>
      <c r="F213" s="18" t="s">
        <v>1673</v>
      </c>
      <c r="G213" s="18" t="s">
        <v>1674</v>
      </c>
      <c r="H213" s="18" t="s">
        <v>1675</v>
      </c>
      <c r="I213" s="18"/>
      <c r="J213" s="16" t="s">
        <v>51</v>
      </c>
      <c r="K213" s="18"/>
    </row>
    <row r="214" spans="1:11" ht="42" customHeight="1">
      <c r="A214" s="13" t="s">
        <v>2015</v>
      </c>
      <c r="B214" s="14" t="s">
        <v>1652</v>
      </c>
      <c r="C214" s="14" t="s">
        <v>1677</v>
      </c>
      <c r="D214" s="15" t="s">
        <v>43</v>
      </c>
      <c r="E214" s="13" t="s">
        <v>47</v>
      </c>
      <c r="F214" s="14" t="s">
        <v>1678</v>
      </c>
      <c r="G214" s="14" t="s">
        <v>109</v>
      </c>
      <c r="H214" s="14" t="s">
        <v>1679</v>
      </c>
      <c r="I214" s="14"/>
      <c r="J214" s="16" t="s">
        <v>51</v>
      </c>
      <c r="K214" s="14"/>
    </row>
    <row r="215" spans="1:11" ht="84" customHeight="1">
      <c r="A215" s="13" t="s">
        <v>2016</v>
      </c>
      <c r="B215" s="14" t="s">
        <v>1652</v>
      </c>
      <c r="C215" s="14" t="s">
        <v>2017</v>
      </c>
      <c r="D215" s="15" t="s">
        <v>43</v>
      </c>
      <c r="E215" s="13" t="s">
        <v>45</v>
      </c>
      <c r="F215" s="14" t="s">
        <v>2018</v>
      </c>
      <c r="G215" s="14" t="s">
        <v>2019</v>
      </c>
      <c r="H215" s="14" t="s">
        <v>2020</v>
      </c>
      <c r="I215" s="14"/>
      <c r="J215" s="16" t="s">
        <v>51</v>
      </c>
      <c r="K215" s="14"/>
    </row>
    <row r="216" spans="1:11" ht="97.5" customHeight="1">
      <c r="A216" s="13" t="s">
        <v>2021</v>
      </c>
      <c r="B216" s="14" t="s">
        <v>1681</v>
      </c>
      <c r="C216" s="14" t="s">
        <v>1682</v>
      </c>
      <c r="D216" s="15" t="s">
        <v>43</v>
      </c>
      <c r="E216" s="13" t="s">
        <v>45</v>
      </c>
      <c r="F216" s="14" t="s">
        <v>2022</v>
      </c>
      <c r="G216" s="14" t="s">
        <v>1684</v>
      </c>
      <c r="H216" s="14" t="s">
        <v>1685</v>
      </c>
      <c r="I216" s="14"/>
      <c r="J216" s="16" t="s">
        <v>51</v>
      </c>
      <c r="K216" s="14" t="s">
        <v>1686</v>
      </c>
    </row>
    <row r="217" spans="1:11" ht="69.75" customHeight="1">
      <c r="A217" s="17" t="s">
        <v>2023</v>
      </c>
      <c r="B217" s="18" t="s">
        <v>1681</v>
      </c>
      <c r="C217" s="18" t="s">
        <v>1688</v>
      </c>
      <c r="D217" s="19" t="s">
        <v>44</v>
      </c>
      <c r="E217" s="17" t="s">
        <v>45</v>
      </c>
      <c r="F217" s="18" t="s">
        <v>1689</v>
      </c>
      <c r="G217" s="18" t="s">
        <v>1690</v>
      </c>
      <c r="H217" s="18" t="s">
        <v>1691</v>
      </c>
      <c r="I217" s="18"/>
      <c r="J217" s="16" t="s">
        <v>51</v>
      </c>
      <c r="K217" s="18" t="s">
        <v>631</v>
      </c>
    </row>
    <row r="218" spans="1:11" ht="55.5" customHeight="1">
      <c r="A218" s="13" t="s">
        <v>2024</v>
      </c>
      <c r="B218" s="14" t="s">
        <v>1681</v>
      </c>
      <c r="C218" s="14" t="s">
        <v>1693</v>
      </c>
      <c r="D218" s="15" t="s">
        <v>43</v>
      </c>
      <c r="E218" s="13" t="s">
        <v>45</v>
      </c>
      <c r="F218" s="14" t="s">
        <v>1694</v>
      </c>
      <c r="G218" s="14" t="s">
        <v>1695</v>
      </c>
      <c r="H218" s="14" t="s">
        <v>1696</v>
      </c>
      <c r="I218" s="14"/>
      <c r="J218" s="16" t="s">
        <v>51</v>
      </c>
      <c r="K218" s="14"/>
    </row>
    <row r="219" spans="1:11" ht="42" customHeight="1">
      <c r="A219" s="17" t="s">
        <v>2025</v>
      </c>
      <c r="B219" s="18" t="s">
        <v>1681</v>
      </c>
      <c r="C219" s="18" t="s">
        <v>2026</v>
      </c>
      <c r="D219" s="19" t="s">
        <v>44</v>
      </c>
      <c r="E219" s="17" t="s">
        <v>46</v>
      </c>
      <c r="F219" s="18" t="s">
        <v>2027</v>
      </c>
      <c r="G219" s="18" t="s">
        <v>2028</v>
      </c>
      <c r="H219" s="18" t="s">
        <v>1701</v>
      </c>
      <c r="I219" s="18"/>
      <c r="J219" s="16" t="s">
        <v>51</v>
      </c>
      <c r="K219" s="18"/>
    </row>
    <row r="220" spans="1:11" ht="42" customHeight="1">
      <c r="A220" s="17" t="s">
        <v>2029</v>
      </c>
      <c r="B220" s="18" t="s">
        <v>1681</v>
      </c>
      <c r="C220" s="18" t="s">
        <v>1703</v>
      </c>
      <c r="D220" s="19" t="s">
        <v>44</v>
      </c>
      <c r="E220" s="17" t="s">
        <v>45</v>
      </c>
      <c r="F220" s="18" t="s">
        <v>1704</v>
      </c>
      <c r="G220" s="18" t="s">
        <v>1705</v>
      </c>
      <c r="H220" s="18" t="s">
        <v>1706</v>
      </c>
      <c r="I220" s="18"/>
      <c r="J220" s="16" t="s">
        <v>51</v>
      </c>
      <c r="K220" s="18"/>
    </row>
    <row r="221" spans="1:11" ht="55.5" customHeight="1">
      <c r="A221" s="13" t="s">
        <v>2030</v>
      </c>
      <c r="B221" s="14" t="s">
        <v>1681</v>
      </c>
      <c r="C221" s="14" t="s">
        <v>1708</v>
      </c>
      <c r="D221" s="15" t="s">
        <v>43</v>
      </c>
      <c r="E221" s="13" t="s">
        <v>46</v>
      </c>
      <c r="F221" s="14" t="s">
        <v>1709</v>
      </c>
      <c r="G221" s="14" t="s">
        <v>1710</v>
      </c>
      <c r="H221" s="14" t="s">
        <v>1711</v>
      </c>
      <c r="I221" s="14"/>
      <c r="J221" s="16" t="s">
        <v>51</v>
      </c>
      <c r="K221" s="14" t="s">
        <v>1712</v>
      </c>
    </row>
    <row r="222" spans="1:11" ht="55.5" customHeight="1">
      <c r="A222" s="17" t="s">
        <v>2031</v>
      </c>
      <c r="B222" s="18" t="s">
        <v>1681</v>
      </c>
      <c r="C222" s="18" t="s">
        <v>1714</v>
      </c>
      <c r="D222" s="19" t="s">
        <v>44</v>
      </c>
      <c r="E222" s="17" t="s">
        <v>46</v>
      </c>
      <c r="F222" s="18" t="s">
        <v>1715</v>
      </c>
      <c r="G222" s="18" t="s">
        <v>109</v>
      </c>
      <c r="H222" s="18" t="s">
        <v>1716</v>
      </c>
      <c r="I222" s="18"/>
      <c r="J222" s="16" t="s">
        <v>51</v>
      </c>
      <c r="K222" s="18"/>
    </row>
    <row r="223" spans="1:11" ht="69.75" customHeight="1">
      <c r="A223" s="13" t="s">
        <v>2032</v>
      </c>
      <c r="B223" s="14" t="s">
        <v>1681</v>
      </c>
      <c r="C223" s="14" t="s">
        <v>1718</v>
      </c>
      <c r="D223" s="15" t="s">
        <v>43</v>
      </c>
      <c r="E223" s="13" t="s">
        <v>46</v>
      </c>
      <c r="F223" s="14" t="s">
        <v>2033</v>
      </c>
      <c r="G223" s="14" t="s">
        <v>2034</v>
      </c>
      <c r="H223" s="14" t="s">
        <v>1721</v>
      </c>
      <c r="I223" s="14"/>
      <c r="J223" s="16" t="s">
        <v>51</v>
      </c>
      <c r="K223" s="14"/>
    </row>
  </sheetData>
  <autoFilter ref="A1:K223" xr:uid="{00000000-0009-0000-0000-000005000000}"/>
  <dataValidations count="3">
    <dataValidation type="list" allowBlank="1" sqref="D2:D223" xr:uid="{00000000-0002-0000-0500-000000000000}">
      <formula1>"Positive,Negative,Functional - Positive,Functional - Negative,Validation - Positive,Validation - Negative,Defect - Functional,Defect - Validation"</formula1>
      <formula2>0</formula2>
    </dataValidation>
    <dataValidation type="list" allowBlank="1" sqref="E2:E223" xr:uid="{00000000-0002-0000-0500-000001000000}">
      <formula1>"High,Medium,Low"</formula1>
      <formula2>0</formula2>
    </dataValidation>
    <dataValidation type="list" allowBlank="1" sqref="J2:J223" xr:uid="{00000000-0002-0000-05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9"/>
  <sheetViews>
    <sheetView zoomScaleNormal="100" workbookViewId="0">
      <selection activeCell="A2" sqref="A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55.5" customHeight="1">
      <c r="A2" s="13" t="s">
        <v>2035</v>
      </c>
      <c r="B2" s="14" t="s">
        <v>2036</v>
      </c>
      <c r="C2" s="14" t="s">
        <v>2037</v>
      </c>
      <c r="D2" s="15" t="s">
        <v>43</v>
      </c>
      <c r="E2" s="13" t="s">
        <v>45</v>
      </c>
      <c r="F2" s="14" t="s">
        <v>2038</v>
      </c>
      <c r="G2" s="14" t="s">
        <v>2039</v>
      </c>
      <c r="H2" s="14" t="s">
        <v>2040</v>
      </c>
      <c r="I2" s="14"/>
      <c r="J2" s="16" t="s">
        <v>51</v>
      </c>
      <c r="K2" s="14" t="s">
        <v>2041</v>
      </c>
    </row>
    <row r="3" spans="1:11" ht="42" customHeight="1">
      <c r="A3" s="13" t="s">
        <v>2042</v>
      </c>
      <c r="B3" s="14" t="s">
        <v>2036</v>
      </c>
      <c r="C3" s="14" t="s">
        <v>2043</v>
      </c>
      <c r="D3" s="15" t="s">
        <v>43</v>
      </c>
      <c r="E3" s="13" t="s">
        <v>45</v>
      </c>
      <c r="F3" s="14" t="s">
        <v>2044</v>
      </c>
      <c r="G3" s="14" t="s">
        <v>2045</v>
      </c>
      <c r="H3" s="14" t="s">
        <v>2046</v>
      </c>
      <c r="I3" s="14"/>
      <c r="J3" s="16" t="s">
        <v>51</v>
      </c>
      <c r="K3" s="14" t="s">
        <v>2047</v>
      </c>
    </row>
    <row r="4" spans="1:11" ht="69.75" customHeight="1">
      <c r="A4" s="13" t="s">
        <v>2048</v>
      </c>
      <c r="B4" s="14" t="s">
        <v>2036</v>
      </c>
      <c r="C4" s="14" t="s">
        <v>2049</v>
      </c>
      <c r="D4" s="15" t="s">
        <v>43</v>
      </c>
      <c r="E4" s="13" t="s">
        <v>46</v>
      </c>
      <c r="F4" s="14" t="s">
        <v>2050</v>
      </c>
      <c r="G4" s="14" t="s">
        <v>2051</v>
      </c>
      <c r="H4" s="14" t="s">
        <v>2052</v>
      </c>
      <c r="I4" s="14"/>
      <c r="J4" s="16" t="s">
        <v>51</v>
      </c>
      <c r="K4" s="14" t="s">
        <v>2053</v>
      </c>
    </row>
    <row r="5" spans="1:11" ht="42" customHeight="1">
      <c r="A5" s="13" t="s">
        <v>2054</v>
      </c>
      <c r="B5" s="14" t="s">
        <v>2036</v>
      </c>
      <c r="C5" s="14" t="s">
        <v>2055</v>
      </c>
      <c r="D5" s="15" t="s">
        <v>43</v>
      </c>
      <c r="E5" s="13" t="s">
        <v>46</v>
      </c>
      <c r="F5" s="14" t="s">
        <v>2056</v>
      </c>
      <c r="G5" s="14" t="s">
        <v>109</v>
      </c>
      <c r="H5" s="14" t="s">
        <v>2057</v>
      </c>
      <c r="I5" s="14"/>
      <c r="J5" s="16" t="s">
        <v>51</v>
      </c>
      <c r="K5" s="14" t="s">
        <v>2047</v>
      </c>
    </row>
    <row r="6" spans="1:11" ht="42" customHeight="1">
      <c r="A6" s="17" t="s">
        <v>2058</v>
      </c>
      <c r="B6" s="18" t="s">
        <v>2036</v>
      </c>
      <c r="C6" s="18" t="s">
        <v>2059</v>
      </c>
      <c r="D6" s="19" t="s">
        <v>44</v>
      </c>
      <c r="E6" s="17" t="s">
        <v>46</v>
      </c>
      <c r="F6" s="18" t="s">
        <v>2060</v>
      </c>
      <c r="G6" s="18" t="s">
        <v>2061</v>
      </c>
      <c r="H6" s="18" t="s">
        <v>2062</v>
      </c>
      <c r="I6" s="18"/>
      <c r="J6" s="16" t="s">
        <v>51</v>
      </c>
      <c r="K6" s="18" t="s">
        <v>2047</v>
      </c>
    </row>
    <row r="7" spans="1:11" ht="42" customHeight="1">
      <c r="A7" s="13" t="s">
        <v>2063</v>
      </c>
      <c r="B7" s="14" t="s">
        <v>2036</v>
      </c>
      <c r="C7" s="14" t="s">
        <v>2064</v>
      </c>
      <c r="D7" s="15" t="s">
        <v>43</v>
      </c>
      <c r="E7" s="13" t="s">
        <v>47</v>
      </c>
      <c r="F7" s="14" t="s">
        <v>2065</v>
      </c>
      <c r="G7" s="14" t="s">
        <v>109</v>
      </c>
      <c r="H7" s="14" t="s">
        <v>2066</v>
      </c>
      <c r="I7" s="14"/>
      <c r="J7" s="16" t="s">
        <v>51</v>
      </c>
      <c r="K7" s="14" t="s">
        <v>2047</v>
      </c>
    </row>
    <row r="8" spans="1:11" ht="42" customHeight="1">
      <c r="A8" s="17" t="s">
        <v>2067</v>
      </c>
      <c r="B8" s="18" t="s">
        <v>2036</v>
      </c>
      <c r="C8" s="18" t="s">
        <v>2068</v>
      </c>
      <c r="D8" s="19" t="s">
        <v>44</v>
      </c>
      <c r="E8" s="17" t="s">
        <v>46</v>
      </c>
      <c r="F8" s="18" t="s">
        <v>2069</v>
      </c>
      <c r="G8" s="18" t="s">
        <v>2070</v>
      </c>
      <c r="H8" s="18" t="s">
        <v>2071</v>
      </c>
      <c r="I8" s="18"/>
      <c r="J8" s="16" t="s">
        <v>51</v>
      </c>
      <c r="K8" s="18" t="s">
        <v>2047</v>
      </c>
    </row>
    <row r="9" spans="1:11" ht="55.5" customHeight="1">
      <c r="A9" s="13" t="s">
        <v>2072</v>
      </c>
      <c r="B9" s="14" t="s">
        <v>2073</v>
      </c>
      <c r="C9" s="14" t="s">
        <v>2074</v>
      </c>
      <c r="D9" s="15" t="s">
        <v>43</v>
      </c>
      <c r="E9" s="13" t="s">
        <v>45</v>
      </c>
      <c r="F9" s="14" t="s">
        <v>2075</v>
      </c>
      <c r="G9" s="14" t="s">
        <v>109</v>
      </c>
      <c r="H9" s="14" t="s">
        <v>2076</v>
      </c>
      <c r="I9" s="14"/>
      <c r="J9" s="16" t="s">
        <v>51</v>
      </c>
      <c r="K9" s="14" t="s">
        <v>2041</v>
      </c>
    </row>
    <row r="10" spans="1:11" ht="84" customHeight="1">
      <c r="A10" s="13" t="s">
        <v>2077</v>
      </c>
      <c r="B10" s="14" t="s">
        <v>2073</v>
      </c>
      <c r="C10" s="14" t="s">
        <v>2078</v>
      </c>
      <c r="D10" s="15" t="s">
        <v>43</v>
      </c>
      <c r="E10" s="13" t="s">
        <v>45</v>
      </c>
      <c r="F10" s="14" t="s">
        <v>2079</v>
      </c>
      <c r="G10" s="14" t="s">
        <v>2080</v>
      </c>
      <c r="H10" s="14" t="s">
        <v>2081</v>
      </c>
      <c r="I10" s="14"/>
      <c r="J10" s="16" t="s">
        <v>51</v>
      </c>
      <c r="K10" s="14" t="s">
        <v>2082</v>
      </c>
    </row>
    <row r="11" spans="1:11" ht="42" customHeight="1">
      <c r="A11" s="13" t="s">
        <v>2083</v>
      </c>
      <c r="B11" s="14" t="s">
        <v>2073</v>
      </c>
      <c r="C11" s="14" t="s">
        <v>2084</v>
      </c>
      <c r="D11" s="15" t="s">
        <v>43</v>
      </c>
      <c r="E11" s="13" t="s">
        <v>45</v>
      </c>
      <c r="F11" s="14" t="s">
        <v>2085</v>
      </c>
      <c r="G11" s="14" t="s">
        <v>2086</v>
      </c>
      <c r="H11" s="14" t="s">
        <v>2087</v>
      </c>
      <c r="I11" s="14"/>
      <c r="J11" s="16" t="s">
        <v>51</v>
      </c>
      <c r="K11" s="14" t="s">
        <v>2047</v>
      </c>
    </row>
    <row r="12" spans="1:11" ht="55.5" customHeight="1">
      <c r="A12" s="13" t="s">
        <v>2088</v>
      </c>
      <c r="B12" s="14" t="s">
        <v>2073</v>
      </c>
      <c r="C12" s="14" t="s">
        <v>2089</v>
      </c>
      <c r="D12" s="15" t="s">
        <v>43</v>
      </c>
      <c r="E12" s="13" t="s">
        <v>45</v>
      </c>
      <c r="F12" s="14" t="s">
        <v>2090</v>
      </c>
      <c r="G12" s="14" t="s">
        <v>2091</v>
      </c>
      <c r="H12" s="14" t="s">
        <v>2092</v>
      </c>
      <c r="I12" s="14"/>
      <c r="J12" s="16" t="s">
        <v>51</v>
      </c>
      <c r="K12" s="14" t="s">
        <v>2047</v>
      </c>
    </row>
    <row r="13" spans="1:11" ht="42" customHeight="1">
      <c r="A13" s="13" t="s">
        <v>2093</v>
      </c>
      <c r="B13" s="14" t="s">
        <v>2073</v>
      </c>
      <c r="C13" s="14" t="s">
        <v>2094</v>
      </c>
      <c r="D13" s="15" t="s">
        <v>43</v>
      </c>
      <c r="E13" s="13" t="s">
        <v>45</v>
      </c>
      <c r="F13" s="14" t="s">
        <v>2095</v>
      </c>
      <c r="G13" s="14" t="s">
        <v>2096</v>
      </c>
      <c r="H13" s="14" t="s">
        <v>2097</v>
      </c>
      <c r="I13" s="14"/>
      <c r="J13" s="16" t="s">
        <v>51</v>
      </c>
      <c r="K13" s="14" t="s">
        <v>2047</v>
      </c>
    </row>
    <row r="14" spans="1:11" ht="42" customHeight="1">
      <c r="A14" s="13" t="s">
        <v>2098</v>
      </c>
      <c r="B14" s="14" t="s">
        <v>2073</v>
      </c>
      <c r="C14" s="14" t="s">
        <v>2099</v>
      </c>
      <c r="D14" s="15" t="s">
        <v>43</v>
      </c>
      <c r="E14" s="13" t="s">
        <v>46</v>
      </c>
      <c r="F14" s="14" t="s">
        <v>2100</v>
      </c>
      <c r="G14" s="14" t="s">
        <v>2101</v>
      </c>
      <c r="H14" s="14" t="s">
        <v>2102</v>
      </c>
      <c r="I14" s="14"/>
      <c r="J14" s="16" t="s">
        <v>51</v>
      </c>
      <c r="K14" s="14" t="s">
        <v>2103</v>
      </c>
    </row>
    <row r="15" spans="1:11" ht="42" customHeight="1">
      <c r="A15" s="17" t="s">
        <v>2104</v>
      </c>
      <c r="B15" s="18" t="s">
        <v>2073</v>
      </c>
      <c r="C15" s="18" t="s">
        <v>2105</v>
      </c>
      <c r="D15" s="19" t="s">
        <v>44</v>
      </c>
      <c r="E15" s="17" t="s">
        <v>46</v>
      </c>
      <c r="F15" s="18" t="s">
        <v>2106</v>
      </c>
      <c r="G15" s="18" t="s">
        <v>2107</v>
      </c>
      <c r="H15" s="18" t="s">
        <v>2108</v>
      </c>
      <c r="I15" s="18"/>
      <c r="J15" s="16" t="s">
        <v>51</v>
      </c>
      <c r="K15" s="18" t="s">
        <v>2047</v>
      </c>
    </row>
    <row r="16" spans="1:11" ht="55.5" customHeight="1">
      <c r="A16" s="13" t="s">
        <v>2109</v>
      </c>
      <c r="B16" s="14" t="s">
        <v>2110</v>
      </c>
      <c r="C16" s="14" t="s">
        <v>2111</v>
      </c>
      <c r="D16" s="15" t="s">
        <v>43</v>
      </c>
      <c r="E16" s="13" t="s">
        <v>45</v>
      </c>
      <c r="F16" s="14" t="s">
        <v>2112</v>
      </c>
      <c r="G16" s="14" t="s">
        <v>109</v>
      </c>
      <c r="H16" s="14" t="s">
        <v>2113</v>
      </c>
      <c r="I16" s="14"/>
      <c r="J16" s="16" t="s">
        <v>51</v>
      </c>
      <c r="K16" s="14" t="s">
        <v>2041</v>
      </c>
    </row>
    <row r="17" spans="1:11" ht="69.75" customHeight="1">
      <c r="A17" s="13" t="s">
        <v>2114</v>
      </c>
      <c r="B17" s="14" t="s">
        <v>2110</v>
      </c>
      <c r="C17" s="14" t="s">
        <v>2115</v>
      </c>
      <c r="D17" s="15" t="s">
        <v>43</v>
      </c>
      <c r="E17" s="13" t="s">
        <v>45</v>
      </c>
      <c r="F17" s="14" t="s">
        <v>2116</v>
      </c>
      <c r="G17" s="14" t="s">
        <v>2117</v>
      </c>
      <c r="H17" s="14" t="s">
        <v>2118</v>
      </c>
      <c r="I17" s="14"/>
      <c r="J17" s="16" t="s">
        <v>51</v>
      </c>
      <c r="K17" s="14" t="s">
        <v>2047</v>
      </c>
    </row>
    <row r="18" spans="1:11" ht="42" customHeight="1">
      <c r="A18" s="17" t="s">
        <v>2119</v>
      </c>
      <c r="B18" s="18" t="s">
        <v>2110</v>
      </c>
      <c r="C18" s="18" t="s">
        <v>2120</v>
      </c>
      <c r="D18" s="19" t="s">
        <v>44</v>
      </c>
      <c r="E18" s="17" t="s">
        <v>46</v>
      </c>
      <c r="F18" s="18" t="s">
        <v>2121</v>
      </c>
      <c r="G18" s="18" t="s">
        <v>109</v>
      </c>
      <c r="H18" s="18" t="s">
        <v>2122</v>
      </c>
      <c r="I18" s="18"/>
      <c r="J18" s="16" t="s">
        <v>51</v>
      </c>
      <c r="K18" s="18" t="s">
        <v>2047</v>
      </c>
    </row>
    <row r="19" spans="1:11" ht="42" customHeight="1">
      <c r="A19" s="13" t="s">
        <v>2123</v>
      </c>
      <c r="B19" s="14" t="s">
        <v>2110</v>
      </c>
      <c r="C19" s="14" t="s">
        <v>2124</v>
      </c>
      <c r="D19" s="15" t="s">
        <v>43</v>
      </c>
      <c r="E19" s="13" t="s">
        <v>46</v>
      </c>
      <c r="F19" s="14" t="s">
        <v>2125</v>
      </c>
      <c r="G19" s="14" t="s">
        <v>109</v>
      </c>
      <c r="H19" s="14" t="s">
        <v>2126</v>
      </c>
      <c r="I19" s="14"/>
      <c r="J19" s="16" t="s">
        <v>51</v>
      </c>
      <c r="K19" s="14" t="s">
        <v>2047</v>
      </c>
    </row>
    <row r="20" spans="1:11" ht="42" customHeight="1">
      <c r="A20" s="17" t="s">
        <v>2127</v>
      </c>
      <c r="B20" s="18" t="s">
        <v>2110</v>
      </c>
      <c r="C20" s="18" t="s">
        <v>2128</v>
      </c>
      <c r="D20" s="19" t="s">
        <v>44</v>
      </c>
      <c r="E20" s="17" t="s">
        <v>47</v>
      </c>
      <c r="F20" s="18" t="s">
        <v>2129</v>
      </c>
      <c r="G20" s="18" t="s">
        <v>2130</v>
      </c>
      <c r="H20" s="18" t="s">
        <v>2131</v>
      </c>
      <c r="I20" s="18"/>
      <c r="J20" s="16" t="s">
        <v>51</v>
      </c>
      <c r="K20" s="18" t="s">
        <v>2132</v>
      </c>
    </row>
    <row r="21" spans="1:11" ht="42" customHeight="1">
      <c r="A21" s="13" t="s">
        <v>2133</v>
      </c>
      <c r="B21" s="14" t="s">
        <v>2110</v>
      </c>
      <c r="C21" s="14" t="s">
        <v>2134</v>
      </c>
      <c r="D21" s="15" t="s">
        <v>43</v>
      </c>
      <c r="E21" s="13" t="s">
        <v>46</v>
      </c>
      <c r="F21" s="14" t="s">
        <v>2135</v>
      </c>
      <c r="G21" s="14" t="s">
        <v>2136</v>
      </c>
      <c r="H21" s="14" t="s">
        <v>2137</v>
      </c>
      <c r="I21" s="14"/>
      <c r="J21" s="16" t="s">
        <v>51</v>
      </c>
      <c r="K21" s="14" t="s">
        <v>2047</v>
      </c>
    </row>
    <row r="22" spans="1:11" ht="55.5" customHeight="1">
      <c r="A22" s="17" t="s">
        <v>2138</v>
      </c>
      <c r="B22" s="18" t="s">
        <v>2110</v>
      </c>
      <c r="C22" s="18" t="s">
        <v>2139</v>
      </c>
      <c r="D22" s="19" t="s">
        <v>44</v>
      </c>
      <c r="E22" s="17" t="s">
        <v>46</v>
      </c>
      <c r="F22" s="18" t="s">
        <v>2140</v>
      </c>
      <c r="G22" s="18" t="s">
        <v>2141</v>
      </c>
      <c r="H22" s="18" t="s">
        <v>2142</v>
      </c>
      <c r="I22" s="18"/>
      <c r="J22" s="16" t="s">
        <v>51</v>
      </c>
      <c r="K22" s="18" t="s">
        <v>2143</v>
      </c>
    </row>
    <row r="23" spans="1:11" ht="84" customHeight="1">
      <c r="A23" s="13" t="s">
        <v>2144</v>
      </c>
      <c r="B23" s="14" t="s">
        <v>2145</v>
      </c>
      <c r="C23" s="14" t="s">
        <v>2146</v>
      </c>
      <c r="D23" s="15" t="s">
        <v>43</v>
      </c>
      <c r="E23" s="13" t="s">
        <v>45</v>
      </c>
      <c r="F23" s="14" t="s">
        <v>2147</v>
      </c>
      <c r="G23" s="14" t="s">
        <v>109</v>
      </c>
      <c r="H23" s="14" t="s">
        <v>2148</v>
      </c>
      <c r="I23" s="14"/>
      <c r="J23" s="16" t="s">
        <v>51</v>
      </c>
      <c r="K23" s="14" t="s">
        <v>2041</v>
      </c>
    </row>
    <row r="24" spans="1:11" ht="111.75" customHeight="1">
      <c r="A24" s="13" t="s">
        <v>2149</v>
      </c>
      <c r="B24" s="14" t="s">
        <v>2145</v>
      </c>
      <c r="C24" s="14" t="s">
        <v>2150</v>
      </c>
      <c r="D24" s="15" t="s">
        <v>43</v>
      </c>
      <c r="E24" s="13" t="s">
        <v>45</v>
      </c>
      <c r="F24" s="14" t="s">
        <v>2151</v>
      </c>
      <c r="G24" s="14" t="s">
        <v>2152</v>
      </c>
      <c r="H24" s="14" t="s">
        <v>2153</v>
      </c>
      <c r="I24" s="14"/>
      <c r="J24" s="16" t="s">
        <v>51</v>
      </c>
      <c r="K24" s="14" t="s">
        <v>2154</v>
      </c>
    </row>
    <row r="25" spans="1:11" ht="55.5" customHeight="1">
      <c r="A25" s="13" t="s">
        <v>2155</v>
      </c>
      <c r="B25" s="14" t="s">
        <v>2145</v>
      </c>
      <c r="C25" s="14" t="s">
        <v>2156</v>
      </c>
      <c r="D25" s="15" t="s">
        <v>43</v>
      </c>
      <c r="E25" s="13" t="s">
        <v>45</v>
      </c>
      <c r="F25" s="14" t="s">
        <v>2157</v>
      </c>
      <c r="G25" s="14" t="s">
        <v>2117</v>
      </c>
      <c r="H25" s="14" t="s">
        <v>2158</v>
      </c>
      <c r="I25" s="14"/>
      <c r="J25" s="16" t="s">
        <v>51</v>
      </c>
      <c r="K25" s="14" t="s">
        <v>2041</v>
      </c>
    </row>
    <row r="26" spans="1:11" ht="55.5" customHeight="1">
      <c r="A26" s="13" t="s">
        <v>2159</v>
      </c>
      <c r="B26" s="14" t="s">
        <v>2145</v>
      </c>
      <c r="C26" s="14" t="s">
        <v>2160</v>
      </c>
      <c r="D26" s="15" t="s">
        <v>43</v>
      </c>
      <c r="E26" s="13" t="s">
        <v>45</v>
      </c>
      <c r="F26" s="14" t="s">
        <v>2161</v>
      </c>
      <c r="G26" s="14" t="s">
        <v>2162</v>
      </c>
      <c r="H26" s="14" t="s">
        <v>2163</v>
      </c>
      <c r="I26" s="14"/>
      <c r="J26" s="16" t="s">
        <v>51</v>
      </c>
      <c r="K26" s="14" t="s">
        <v>2041</v>
      </c>
    </row>
    <row r="27" spans="1:11" ht="27.75" customHeight="1">
      <c r="A27" s="13" t="s">
        <v>2164</v>
      </c>
      <c r="B27" s="14" t="s">
        <v>2145</v>
      </c>
      <c r="C27" s="14" t="s">
        <v>2165</v>
      </c>
      <c r="D27" s="15" t="s">
        <v>43</v>
      </c>
      <c r="E27" s="13" t="s">
        <v>46</v>
      </c>
      <c r="F27" s="14" t="s">
        <v>2166</v>
      </c>
      <c r="G27" s="14" t="s">
        <v>109</v>
      </c>
      <c r="H27" s="14" t="s">
        <v>2167</v>
      </c>
      <c r="I27" s="14"/>
      <c r="J27" s="16" t="s">
        <v>51</v>
      </c>
      <c r="K27" s="14" t="s">
        <v>2041</v>
      </c>
    </row>
    <row r="28" spans="1:11" ht="55.5" customHeight="1">
      <c r="A28" s="17" t="s">
        <v>2168</v>
      </c>
      <c r="B28" s="18" t="s">
        <v>2145</v>
      </c>
      <c r="C28" s="18" t="s">
        <v>2169</v>
      </c>
      <c r="D28" s="19" t="s">
        <v>44</v>
      </c>
      <c r="E28" s="17" t="s">
        <v>46</v>
      </c>
      <c r="F28" s="18" t="s">
        <v>2170</v>
      </c>
      <c r="G28" s="18" t="s">
        <v>2171</v>
      </c>
      <c r="H28" s="18" t="s">
        <v>2172</v>
      </c>
      <c r="I28" s="18"/>
      <c r="J28" s="16" t="s">
        <v>51</v>
      </c>
      <c r="K28" s="18" t="s">
        <v>2173</v>
      </c>
    </row>
    <row r="29" spans="1:11" ht="42" customHeight="1">
      <c r="A29" s="13" t="s">
        <v>2174</v>
      </c>
      <c r="B29" s="14" t="s">
        <v>2145</v>
      </c>
      <c r="C29" s="14" t="s">
        <v>2175</v>
      </c>
      <c r="D29" s="15" t="s">
        <v>43</v>
      </c>
      <c r="E29" s="13" t="s">
        <v>45</v>
      </c>
      <c r="F29" s="14" t="s">
        <v>2176</v>
      </c>
      <c r="G29" s="14" t="s">
        <v>2177</v>
      </c>
      <c r="H29" s="14" t="s">
        <v>2178</v>
      </c>
      <c r="I29" s="14"/>
      <c r="J29" s="16" t="s">
        <v>51</v>
      </c>
      <c r="K29" s="14" t="s">
        <v>2041</v>
      </c>
    </row>
    <row r="30" spans="1:11" ht="55.5" customHeight="1">
      <c r="A30" s="13" t="s">
        <v>2179</v>
      </c>
      <c r="B30" s="14" t="s">
        <v>2145</v>
      </c>
      <c r="C30" s="14" t="s">
        <v>2180</v>
      </c>
      <c r="D30" s="15" t="s">
        <v>43</v>
      </c>
      <c r="E30" s="13" t="s">
        <v>45</v>
      </c>
      <c r="F30" s="14" t="s">
        <v>2181</v>
      </c>
      <c r="G30" s="14" t="s">
        <v>2182</v>
      </c>
      <c r="H30" s="14" t="s">
        <v>2183</v>
      </c>
      <c r="I30" s="14"/>
      <c r="J30" s="16" t="s">
        <v>51</v>
      </c>
      <c r="K30" s="14" t="s">
        <v>2047</v>
      </c>
    </row>
    <row r="31" spans="1:11" ht="55.5" customHeight="1">
      <c r="A31" s="17" t="s">
        <v>2184</v>
      </c>
      <c r="B31" s="18" t="s">
        <v>2145</v>
      </c>
      <c r="C31" s="18" t="s">
        <v>2185</v>
      </c>
      <c r="D31" s="19" t="s">
        <v>44</v>
      </c>
      <c r="E31" s="17" t="s">
        <v>46</v>
      </c>
      <c r="F31" s="18" t="s">
        <v>2186</v>
      </c>
      <c r="G31" s="18" t="s">
        <v>2187</v>
      </c>
      <c r="H31" s="18" t="s">
        <v>2188</v>
      </c>
      <c r="I31" s="18"/>
      <c r="J31" s="16" t="s">
        <v>51</v>
      </c>
      <c r="K31" s="18" t="s">
        <v>2189</v>
      </c>
    </row>
    <row r="32" spans="1:11" ht="42" customHeight="1">
      <c r="A32" s="13" t="s">
        <v>2190</v>
      </c>
      <c r="B32" s="14" t="s">
        <v>2145</v>
      </c>
      <c r="C32" s="14" t="s">
        <v>2191</v>
      </c>
      <c r="D32" s="15" t="s">
        <v>43</v>
      </c>
      <c r="E32" s="13" t="s">
        <v>45</v>
      </c>
      <c r="F32" s="14" t="s">
        <v>2192</v>
      </c>
      <c r="G32" s="14" t="s">
        <v>2193</v>
      </c>
      <c r="H32" s="14" t="s">
        <v>2194</v>
      </c>
      <c r="I32" s="14"/>
      <c r="J32" s="16" t="s">
        <v>51</v>
      </c>
      <c r="K32" s="14" t="s">
        <v>2047</v>
      </c>
    </row>
    <row r="33" spans="1:11" ht="55.5" customHeight="1">
      <c r="A33" s="13" t="s">
        <v>2195</v>
      </c>
      <c r="B33" s="14" t="s">
        <v>2196</v>
      </c>
      <c r="C33" s="14" t="s">
        <v>2197</v>
      </c>
      <c r="D33" s="15" t="s">
        <v>43</v>
      </c>
      <c r="E33" s="13" t="s">
        <v>45</v>
      </c>
      <c r="F33" s="14" t="s">
        <v>2198</v>
      </c>
      <c r="G33" s="14" t="s">
        <v>109</v>
      </c>
      <c r="H33" s="14" t="s">
        <v>2199</v>
      </c>
      <c r="I33" s="14"/>
      <c r="J33" s="16" t="s">
        <v>51</v>
      </c>
      <c r="K33" s="14" t="s">
        <v>2047</v>
      </c>
    </row>
    <row r="34" spans="1:11" ht="55.5" customHeight="1">
      <c r="A34" s="13" t="s">
        <v>2200</v>
      </c>
      <c r="B34" s="14" t="s">
        <v>2196</v>
      </c>
      <c r="C34" s="14" t="s">
        <v>2201</v>
      </c>
      <c r="D34" s="15" t="s">
        <v>43</v>
      </c>
      <c r="E34" s="13" t="s">
        <v>46</v>
      </c>
      <c r="F34" s="14" t="s">
        <v>2202</v>
      </c>
      <c r="G34" s="14" t="s">
        <v>2117</v>
      </c>
      <c r="H34" s="14" t="s">
        <v>2203</v>
      </c>
      <c r="I34" s="14"/>
      <c r="J34" s="16" t="s">
        <v>51</v>
      </c>
      <c r="K34" s="14" t="s">
        <v>2204</v>
      </c>
    </row>
    <row r="35" spans="1:11" ht="42" customHeight="1">
      <c r="A35" s="13" t="s">
        <v>2205</v>
      </c>
      <c r="B35" s="14" t="s">
        <v>2196</v>
      </c>
      <c r="C35" s="14" t="s">
        <v>2206</v>
      </c>
      <c r="D35" s="15" t="s">
        <v>43</v>
      </c>
      <c r="E35" s="13" t="s">
        <v>45</v>
      </c>
      <c r="F35" s="14" t="s">
        <v>2207</v>
      </c>
      <c r="G35" s="14" t="s">
        <v>2193</v>
      </c>
      <c r="H35" s="14" t="s">
        <v>2208</v>
      </c>
      <c r="I35" s="14"/>
      <c r="J35" s="16" t="s">
        <v>51</v>
      </c>
      <c r="K35" s="14" t="s">
        <v>2047</v>
      </c>
    </row>
    <row r="36" spans="1:11" ht="42" customHeight="1">
      <c r="A36" s="17" t="s">
        <v>2209</v>
      </c>
      <c r="B36" s="18" t="s">
        <v>2196</v>
      </c>
      <c r="C36" s="18" t="s">
        <v>2210</v>
      </c>
      <c r="D36" s="19" t="s">
        <v>44</v>
      </c>
      <c r="E36" s="17" t="s">
        <v>46</v>
      </c>
      <c r="F36" s="18" t="s">
        <v>2211</v>
      </c>
      <c r="G36" s="18" t="s">
        <v>2212</v>
      </c>
      <c r="H36" s="18" t="s">
        <v>2213</v>
      </c>
      <c r="I36" s="18"/>
      <c r="J36" s="16" t="s">
        <v>51</v>
      </c>
      <c r="K36" s="18" t="s">
        <v>2047</v>
      </c>
    </row>
    <row r="37" spans="1:11" ht="27.75" customHeight="1">
      <c r="A37" s="13" t="s">
        <v>2214</v>
      </c>
      <c r="B37" s="14" t="s">
        <v>2196</v>
      </c>
      <c r="C37" s="14" t="s">
        <v>2215</v>
      </c>
      <c r="D37" s="15" t="s">
        <v>43</v>
      </c>
      <c r="E37" s="13" t="s">
        <v>47</v>
      </c>
      <c r="F37" s="14" t="s">
        <v>2216</v>
      </c>
      <c r="G37" s="14" t="s">
        <v>2217</v>
      </c>
      <c r="H37" s="14" t="s">
        <v>2218</v>
      </c>
      <c r="I37" s="14"/>
      <c r="J37" s="16" t="s">
        <v>51</v>
      </c>
      <c r="K37" s="14" t="s">
        <v>2047</v>
      </c>
    </row>
    <row r="38" spans="1:11" ht="42" customHeight="1">
      <c r="A38" s="13" t="s">
        <v>2219</v>
      </c>
      <c r="B38" s="14" t="s">
        <v>2220</v>
      </c>
      <c r="C38" s="14" t="s">
        <v>2221</v>
      </c>
      <c r="D38" s="15" t="s">
        <v>43</v>
      </c>
      <c r="E38" s="13" t="s">
        <v>45</v>
      </c>
      <c r="F38" s="14" t="s">
        <v>2222</v>
      </c>
      <c r="G38" s="14" t="s">
        <v>109</v>
      </c>
      <c r="H38" s="14" t="s">
        <v>2223</v>
      </c>
      <c r="I38" s="14"/>
      <c r="J38" s="16" t="s">
        <v>51</v>
      </c>
      <c r="K38" s="14" t="s">
        <v>2047</v>
      </c>
    </row>
    <row r="39" spans="1:11" ht="42" customHeight="1">
      <c r="A39" s="13" t="s">
        <v>2224</v>
      </c>
      <c r="B39" s="14" t="s">
        <v>2220</v>
      </c>
      <c r="C39" s="14" t="s">
        <v>2225</v>
      </c>
      <c r="D39" s="15" t="s">
        <v>43</v>
      </c>
      <c r="E39" s="13" t="s">
        <v>46</v>
      </c>
      <c r="F39" s="14" t="s">
        <v>2226</v>
      </c>
      <c r="G39" s="14" t="s">
        <v>2117</v>
      </c>
      <c r="H39" s="14" t="s">
        <v>2227</v>
      </c>
      <c r="I39" s="14"/>
      <c r="J39" s="16" t="s">
        <v>51</v>
      </c>
      <c r="K39" s="14" t="s">
        <v>2047</v>
      </c>
    </row>
    <row r="40" spans="1:11" ht="27.75" customHeight="1">
      <c r="A40" s="13" t="s">
        <v>2228</v>
      </c>
      <c r="B40" s="14" t="s">
        <v>2220</v>
      </c>
      <c r="C40" s="14" t="s">
        <v>2229</v>
      </c>
      <c r="D40" s="15" t="s">
        <v>43</v>
      </c>
      <c r="E40" s="13" t="s">
        <v>45</v>
      </c>
      <c r="F40" s="14" t="s">
        <v>2230</v>
      </c>
      <c r="G40" s="14" t="s">
        <v>2193</v>
      </c>
      <c r="H40" s="14" t="s">
        <v>2231</v>
      </c>
      <c r="I40" s="14"/>
      <c r="J40" s="16" t="s">
        <v>51</v>
      </c>
      <c r="K40" s="14" t="s">
        <v>2047</v>
      </c>
    </row>
    <row r="41" spans="1:11" ht="42" customHeight="1">
      <c r="A41" s="17" t="s">
        <v>2232</v>
      </c>
      <c r="B41" s="18" t="s">
        <v>2220</v>
      </c>
      <c r="C41" s="18" t="s">
        <v>2233</v>
      </c>
      <c r="D41" s="19" t="s">
        <v>44</v>
      </c>
      <c r="E41" s="17" t="s">
        <v>46</v>
      </c>
      <c r="F41" s="18" t="s">
        <v>2234</v>
      </c>
      <c r="G41" s="18" t="s">
        <v>2212</v>
      </c>
      <c r="H41" s="18" t="s">
        <v>2235</v>
      </c>
      <c r="I41" s="18"/>
      <c r="J41" s="16" t="s">
        <v>51</v>
      </c>
      <c r="K41" s="18" t="s">
        <v>2047</v>
      </c>
    </row>
    <row r="42" spans="1:11" ht="42" customHeight="1">
      <c r="A42" s="13" t="s">
        <v>2236</v>
      </c>
      <c r="B42" s="14" t="s">
        <v>2220</v>
      </c>
      <c r="C42" s="14" t="s">
        <v>2237</v>
      </c>
      <c r="D42" s="15" t="s">
        <v>43</v>
      </c>
      <c r="E42" s="13" t="s">
        <v>47</v>
      </c>
      <c r="F42" s="14" t="s">
        <v>2238</v>
      </c>
      <c r="G42" s="14" t="s">
        <v>109</v>
      </c>
      <c r="H42" s="14" t="s">
        <v>2239</v>
      </c>
      <c r="I42" s="14"/>
      <c r="J42" s="16" t="s">
        <v>51</v>
      </c>
      <c r="K42" s="14" t="s">
        <v>2047</v>
      </c>
    </row>
    <row r="43" spans="1:11" ht="55.5" customHeight="1">
      <c r="A43" s="13" t="s">
        <v>2240</v>
      </c>
      <c r="B43" s="14" t="s">
        <v>2241</v>
      </c>
      <c r="C43" s="14" t="s">
        <v>2242</v>
      </c>
      <c r="D43" s="15" t="s">
        <v>43</v>
      </c>
      <c r="E43" s="13" t="s">
        <v>45</v>
      </c>
      <c r="F43" s="14" t="s">
        <v>2243</v>
      </c>
      <c r="G43" s="14" t="s">
        <v>109</v>
      </c>
      <c r="H43" s="14" t="s">
        <v>2244</v>
      </c>
      <c r="I43" s="14"/>
      <c r="J43" s="16" t="s">
        <v>51</v>
      </c>
      <c r="K43" s="14" t="s">
        <v>2041</v>
      </c>
    </row>
    <row r="44" spans="1:11" ht="55.5" customHeight="1">
      <c r="A44" s="13" t="s">
        <v>2245</v>
      </c>
      <c r="B44" s="14" t="s">
        <v>2241</v>
      </c>
      <c r="C44" s="14" t="s">
        <v>2246</v>
      </c>
      <c r="D44" s="15" t="s">
        <v>43</v>
      </c>
      <c r="E44" s="13" t="s">
        <v>45</v>
      </c>
      <c r="F44" s="14" t="s">
        <v>2247</v>
      </c>
      <c r="G44" s="14" t="s">
        <v>2248</v>
      </c>
      <c r="H44" s="14" t="s">
        <v>2249</v>
      </c>
      <c r="I44" s="14"/>
      <c r="J44" s="16" t="s">
        <v>51</v>
      </c>
      <c r="K44" s="14" t="s">
        <v>2250</v>
      </c>
    </row>
    <row r="45" spans="1:11" ht="42" customHeight="1">
      <c r="A45" s="13" t="s">
        <v>2251</v>
      </c>
      <c r="B45" s="14" t="s">
        <v>2241</v>
      </c>
      <c r="C45" s="14" t="s">
        <v>2252</v>
      </c>
      <c r="D45" s="15" t="s">
        <v>43</v>
      </c>
      <c r="E45" s="13" t="s">
        <v>46</v>
      </c>
      <c r="F45" s="14" t="s">
        <v>2253</v>
      </c>
      <c r="G45" s="14" t="s">
        <v>2254</v>
      </c>
      <c r="H45" s="14" t="s">
        <v>2255</v>
      </c>
      <c r="I45" s="14"/>
      <c r="J45" s="16" t="s">
        <v>51</v>
      </c>
      <c r="K45" s="14" t="s">
        <v>2047</v>
      </c>
    </row>
    <row r="46" spans="1:11" ht="42" customHeight="1">
      <c r="A46" s="13" t="s">
        <v>2256</v>
      </c>
      <c r="B46" s="14" t="s">
        <v>2241</v>
      </c>
      <c r="C46" s="14" t="s">
        <v>2257</v>
      </c>
      <c r="D46" s="15" t="s">
        <v>43</v>
      </c>
      <c r="E46" s="13" t="s">
        <v>45</v>
      </c>
      <c r="F46" s="14" t="s">
        <v>2258</v>
      </c>
      <c r="G46" s="14" t="s">
        <v>2193</v>
      </c>
      <c r="H46" s="14" t="s">
        <v>2259</v>
      </c>
      <c r="I46" s="14"/>
      <c r="J46" s="16" t="s">
        <v>51</v>
      </c>
      <c r="K46" s="14" t="s">
        <v>2047</v>
      </c>
    </row>
    <row r="47" spans="1:11" ht="55.5" customHeight="1">
      <c r="A47" s="17" t="s">
        <v>2260</v>
      </c>
      <c r="B47" s="18" t="s">
        <v>2241</v>
      </c>
      <c r="C47" s="18" t="s">
        <v>2261</v>
      </c>
      <c r="D47" s="19" t="s">
        <v>44</v>
      </c>
      <c r="E47" s="17" t="s">
        <v>46</v>
      </c>
      <c r="F47" s="18" t="s">
        <v>2262</v>
      </c>
      <c r="G47" s="18" t="s">
        <v>2263</v>
      </c>
      <c r="H47" s="18" t="s">
        <v>2264</v>
      </c>
      <c r="I47" s="18"/>
      <c r="J47" s="16" t="s">
        <v>51</v>
      </c>
      <c r="K47" s="18" t="s">
        <v>2047</v>
      </c>
    </row>
    <row r="48" spans="1:11" ht="42" customHeight="1">
      <c r="A48" s="17" t="s">
        <v>2265</v>
      </c>
      <c r="B48" s="18" t="s">
        <v>2241</v>
      </c>
      <c r="C48" s="18" t="s">
        <v>2266</v>
      </c>
      <c r="D48" s="19" t="s">
        <v>44</v>
      </c>
      <c r="E48" s="17" t="s">
        <v>46</v>
      </c>
      <c r="F48" s="18" t="s">
        <v>2267</v>
      </c>
      <c r="G48" s="18" t="s">
        <v>2212</v>
      </c>
      <c r="H48" s="18" t="s">
        <v>2268</v>
      </c>
      <c r="I48" s="18"/>
      <c r="J48" s="16" t="s">
        <v>51</v>
      </c>
      <c r="K48" s="18" t="s">
        <v>2047</v>
      </c>
    </row>
    <row r="49" spans="1:11" ht="42" customHeight="1">
      <c r="A49" s="13" t="s">
        <v>2269</v>
      </c>
      <c r="B49" s="14" t="s">
        <v>2270</v>
      </c>
      <c r="C49" s="14" t="s">
        <v>2271</v>
      </c>
      <c r="D49" s="15" t="s">
        <v>43</v>
      </c>
      <c r="E49" s="13" t="s">
        <v>45</v>
      </c>
      <c r="F49" s="14" t="s">
        <v>2272</v>
      </c>
      <c r="G49" s="14" t="s">
        <v>109</v>
      </c>
      <c r="H49" s="14" t="s">
        <v>2273</v>
      </c>
      <c r="I49" s="14"/>
      <c r="J49" s="16" t="s">
        <v>51</v>
      </c>
      <c r="K49" s="14" t="s">
        <v>2041</v>
      </c>
    </row>
    <row r="50" spans="1:11" ht="42" customHeight="1">
      <c r="A50" s="13" t="s">
        <v>2274</v>
      </c>
      <c r="B50" s="14" t="s">
        <v>2270</v>
      </c>
      <c r="C50" s="14" t="s">
        <v>2206</v>
      </c>
      <c r="D50" s="15" t="s">
        <v>43</v>
      </c>
      <c r="E50" s="13" t="s">
        <v>45</v>
      </c>
      <c r="F50" s="14" t="s">
        <v>2275</v>
      </c>
      <c r="G50" s="14" t="s">
        <v>2193</v>
      </c>
      <c r="H50" s="14" t="s">
        <v>2276</v>
      </c>
      <c r="I50" s="14"/>
      <c r="J50" s="16" t="s">
        <v>51</v>
      </c>
      <c r="K50" s="14" t="s">
        <v>2047</v>
      </c>
    </row>
    <row r="51" spans="1:11" ht="42" customHeight="1">
      <c r="A51" s="13" t="s">
        <v>2277</v>
      </c>
      <c r="B51" s="14" t="s">
        <v>2270</v>
      </c>
      <c r="C51" s="14" t="s">
        <v>2278</v>
      </c>
      <c r="D51" s="15" t="s">
        <v>43</v>
      </c>
      <c r="E51" s="13" t="s">
        <v>46</v>
      </c>
      <c r="F51" s="14" t="s">
        <v>2279</v>
      </c>
      <c r="G51" s="14" t="s">
        <v>2280</v>
      </c>
      <c r="H51" s="14" t="s">
        <v>2281</v>
      </c>
      <c r="I51" s="14"/>
      <c r="J51" s="16" t="s">
        <v>51</v>
      </c>
      <c r="K51" s="14" t="s">
        <v>2047</v>
      </c>
    </row>
    <row r="52" spans="1:11" ht="42" customHeight="1">
      <c r="A52" s="17" t="s">
        <v>2282</v>
      </c>
      <c r="B52" s="18" t="s">
        <v>2270</v>
      </c>
      <c r="C52" s="18" t="s">
        <v>2283</v>
      </c>
      <c r="D52" s="19" t="s">
        <v>44</v>
      </c>
      <c r="E52" s="17" t="s">
        <v>46</v>
      </c>
      <c r="F52" s="18" t="s">
        <v>2267</v>
      </c>
      <c r="G52" s="18" t="s">
        <v>2212</v>
      </c>
      <c r="H52" s="18" t="s">
        <v>2284</v>
      </c>
      <c r="I52" s="18"/>
      <c r="J52" s="16" t="s">
        <v>51</v>
      </c>
      <c r="K52" s="18" t="s">
        <v>2047</v>
      </c>
    </row>
    <row r="53" spans="1:11" ht="27.75" customHeight="1">
      <c r="A53" s="13" t="s">
        <v>2285</v>
      </c>
      <c r="B53" s="14" t="s">
        <v>2286</v>
      </c>
      <c r="C53" s="14" t="s">
        <v>2287</v>
      </c>
      <c r="D53" s="15" t="s">
        <v>43</v>
      </c>
      <c r="E53" s="13" t="s">
        <v>45</v>
      </c>
      <c r="F53" s="14" t="s">
        <v>2288</v>
      </c>
      <c r="G53" s="14" t="s">
        <v>109</v>
      </c>
      <c r="H53" s="14" t="s">
        <v>2289</v>
      </c>
      <c r="I53" s="14"/>
      <c r="J53" s="16" t="s">
        <v>51</v>
      </c>
      <c r="K53" s="14" t="s">
        <v>2041</v>
      </c>
    </row>
    <row r="54" spans="1:11" ht="42" customHeight="1">
      <c r="A54" s="13" t="s">
        <v>2290</v>
      </c>
      <c r="B54" s="14" t="s">
        <v>2286</v>
      </c>
      <c r="C54" s="14" t="s">
        <v>2291</v>
      </c>
      <c r="D54" s="15" t="s">
        <v>43</v>
      </c>
      <c r="E54" s="13" t="s">
        <v>45</v>
      </c>
      <c r="F54" s="14" t="s">
        <v>2292</v>
      </c>
      <c r="G54" s="14" t="s">
        <v>109</v>
      </c>
      <c r="H54" s="14" t="s">
        <v>2293</v>
      </c>
      <c r="I54" s="14"/>
      <c r="J54" s="16" t="s">
        <v>51</v>
      </c>
      <c r="K54" s="14" t="s">
        <v>2041</v>
      </c>
    </row>
    <row r="55" spans="1:11" ht="42" customHeight="1">
      <c r="A55" s="17" t="s">
        <v>2294</v>
      </c>
      <c r="B55" s="18" t="s">
        <v>2286</v>
      </c>
      <c r="C55" s="18" t="s">
        <v>2295</v>
      </c>
      <c r="D55" s="19" t="s">
        <v>44</v>
      </c>
      <c r="E55" s="17" t="s">
        <v>46</v>
      </c>
      <c r="F55" s="18" t="s">
        <v>2296</v>
      </c>
      <c r="G55" s="18" t="s">
        <v>109</v>
      </c>
      <c r="H55" s="18" t="s">
        <v>2297</v>
      </c>
      <c r="I55" s="18"/>
      <c r="J55" s="16" t="s">
        <v>51</v>
      </c>
      <c r="K55" s="18" t="s">
        <v>2047</v>
      </c>
    </row>
    <row r="56" spans="1:11" ht="42" customHeight="1">
      <c r="A56" s="13" t="s">
        <v>2298</v>
      </c>
      <c r="B56" s="14" t="s">
        <v>2286</v>
      </c>
      <c r="C56" s="14" t="s">
        <v>2299</v>
      </c>
      <c r="D56" s="15" t="s">
        <v>43</v>
      </c>
      <c r="E56" s="13" t="s">
        <v>45</v>
      </c>
      <c r="F56" s="14" t="s">
        <v>2300</v>
      </c>
      <c r="G56" s="14" t="s">
        <v>2301</v>
      </c>
      <c r="H56" s="14" t="s">
        <v>2302</v>
      </c>
      <c r="I56" s="14"/>
      <c r="J56" s="16" t="s">
        <v>51</v>
      </c>
      <c r="K56" s="14" t="s">
        <v>2047</v>
      </c>
    </row>
    <row r="57" spans="1:11" ht="42" customHeight="1">
      <c r="A57" s="13" t="s">
        <v>2303</v>
      </c>
      <c r="B57" s="14" t="s">
        <v>2286</v>
      </c>
      <c r="C57" s="14" t="s">
        <v>2304</v>
      </c>
      <c r="D57" s="15" t="s">
        <v>43</v>
      </c>
      <c r="E57" s="13" t="s">
        <v>45</v>
      </c>
      <c r="F57" s="14" t="s">
        <v>2305</v>
      </c>
      <c r="G57" s="14" t="s">
        <v>2306</v>
      </c>
      <c r="H57" s="14" t="s">
        <v>2307</v>
      </c>
      <c r="I57" s="14"/>
      <c r="J57" s="16" t="s">
        <v>51</v>
      </c>
      <c r="K57" s="14" t="s">
        <v>2047</v>
      </c>
    </row>
    <row r="58" spans="1:11" ht="42" customHeight="1">
      <c r="A58" s="13" t="s">
        <v>2308</v>
      </c>
      <c r="B58" s="14" t="s">
        <v>2286</v>
      </c>
      <c r="C58" s="14" t="s">
        <v>2309</v>
      </c>
      <c r="D58" s="15" t="s">
        <v>43</v>
      </c>
      <c r="E58" s="13" t="s">
        <v>46</v>
      </c>
      <c r="F58" s="14" t="s">
        <v>2310</v>
      </c>
      <c r="G58" s="14" t="s">
        <v>2311</v>
      </c>
      <c r="H58" s="14" t="s">
        <v>2312</v>
      </c>
      <c r="I58" s="14"/>
      <c r="J58" s="16" t="s">
        <v>51</v>
      </c>
      <c r="K58" s="14" t="s">
        <v>2047</v>
      </c>
    </row>
    <row r="59" spans="1:11" ht="42" customHeight="1">
      <c r="A59" s="17" t="s">
        <v>2313</v>
      </c>
      <c r="B59" s="18" t="s">
        <v>2286</v>
      </c>
      <c r="C59" s="18" t="s">
        <v>2314</v>
      </c>
      <c r="D59" s="19" t="s">
        <v>44</v>
      </c>
      <c r="E59" s="17" t="s">
        <v>46</v>
      </c>
      <c r="F59" s="18" t="s">
        <v>2315</v>
      </c>
      <c r="G59" s="18" t="s">
        <v>2316</v>
      </c>
      <c r="H59" s="18" t="s">
        <v>2317</v>
      </c>
      <c r="I59" s="18"/>
      <c r="J59" s="16" t="s">
        <v>51</v>
      </c>
      <c r="K59" s="18" t="s">
        <v>2047</v>
      </c>
    </row>
    <row r="60" spans="1:11" ht="27.75" customHeight="1">
      <c r="A60" s="13" t="s">
        <v>2318</v>
      </c>
      <c r="B60" s="14" t="s">
        <v>2319</v>
      </c>
      <c r="C60" s="14" t="s">
        <v>2320</v>
      </c>
      <c r="D60" s="15" t="s">
        <v>43</v>
      </c>
      <c r="E60" s="13" t="s">
        <v>45</v>
      </c>
      <c r="F60" s="14" t="s">
        <v>2321</v>
      </c>
      <c r="G60" s="14" t="s">
        <v>109</v>
      </c>
      <c r="H60" s="14" t="s">
        <v>2322</v>
      </c>
      <c r="I60" s="14"/>
      <c r="J60" s="16" t="s">
        <v>51</v>
      </c>
      <c r="K60" s="14" t="s">
        <v>2047</v>
      </c>
    </row>
    <row r="61" spans="1:11" ht="42" customHeight="1">
      <c r="A61" s="13" t="s">
        <v>2323</v>
      </c>
      <c r="B61" s="14" t="s">
        <v>2319</v>
      </c>
      <c r="C61" s="14" t="s">
        <v>2324</v>
      </c>
      <c r="D61" s="15" t="s">
        <v>43</v>
      </c>
      <c r="E61" s="13" t="s">
        <v>45</v>
      </c>
      <c r="F61" s="14" t="s">
        <v>2325</v>
      </c>
      <c r="G61" s="14" t="s">
        <v>2326</v>
      </c>
      <c r="H61" s="14" t="s">
        <v>2327</v>
      </c>
      <c r="I61" s="14"/>
      <c r="J61" s="16" t="s">
        <v>51</v>
      </c>
      <c r="K61" s="14" t="s">
        <v>2041</v>
      </c>
    </row>
    <row r="62" spans="1:11" ht="42" customHeight="1">
      <c r="A62" s="17" t="s">
        <v>2328</v>
      </c>
      <c r="B62" s="18" t="s">
        <v>2319</v>
      </c>
      <c r="C62" s="18" t="s">
        <v>2329</v>
      </c>
      <c r="D62" s="19" t="s">
        <v>44</v>
      </c>
      <c r="E62" s="17" t="s">
        <v>45</v>
      </c>
      <c r="F62" s="18" t="s">
        <v>2330</v>
      </c>
      <c r="G62" s="18" t="s">
        <v>2331</v>
      </c>
      <c r="H62" s="18" t="s">
        <v>2332</v>
      </c>
      <c r="I62" s="18"/>
      <c r="J62" s="16" t="s">
        <v>51</v>
      </c>
      <c r="K62" s="18" t="s">
        <v>2047</v>
      </c>
    </row>
    <row r="63" spans="1:11" ht="42" customHeight="1">
      <c r="A63" s="13" t="s">
        <v>2333</v>
      </c>
      <c r="B63" s="14" t="s">
        <v>2319</v>
      </c>
      <c r="C63" s="14" t="s">
        <v>2334</v>
      </c>
      <c r="D63" s="15" t="s">
        <v>43</v>
      </c>
      <c r="E63" s="13" t="s">
        <v>45</v>
      </c>
      <c r="F63" s="14" t="s">
        <v>2335</v>
      </c>
      <c r="G63" s="14" t="s">
        <v>2336</v>
      </c>
      <c r="H63" s="14" t="s">
        <v>2337</v>
      </c>
      <c r="I63" s="14"/>
      <c r="J63" s="16" t="s">
        <v>51</v>
      </c>
      <c r="K63" s="14" t="s">
        <v>2041</v>
      </c>
    </row>
    <row r="64" spans="1:11" ht="42" customHeight="1">
      <c r="A64" s="17" t="s">
        <v>2338</v>
      </c>
      <c r="B64" s="18" t="s">
        <v>2319</v>
      </c>
      <c r="C64" s="18" t="s">
        <v>2339</v>
      </c>
      <c r="D64" s="19" t="s">
        <v>44</v>
      </c>
      <c r="E64" s="17" t="s">
        <v>45</v>
      </c>
      <c r="F64" s="18" t="s">
        <v>2340</v>
      </c>
      <c r="G64" s="18" t="s">
        <v>2341</v>
      </c>
      <c r="H64" s="18" t="s">
        <v>2332</v>
      </c>
      <c r="I64" s="18"/>
      <c r="J64" s="16" t="s">
        <v>51</v>
      </c>
      <c r="K64" s="18" t="s">
        <v>2047</v>
      </c>
    </row>
    <row r="65" spans="1:11" ht="55.5" customHeight="1">
      <c r="A65" s="13" t="s">
        <v>2342</v>
      </c>
      <c r="B65" s="14" t="s">
        <v>2319</v>
      </c>
      <c r="C65" s="14" t="s">
        <v>2343</v>
      </c>
      <c r="D65" s="15" t="s">
        <v>43</v>
      </c>
      <c r="E65" s="13" t="s">
        <v>45</v>
      </c>
      <c r="F65" s="14" t="s">
        <v>2344</v>
      </c>
      <c r="G65" s="14" t="s">
        <v>2345</v>
      </c>
      <c r="H65" s="14" t="s">
        <v>2346</v>
      </c>
      <c r="I65" s="14"/>
      <c r="J65" s="16" t="s">
        <v>51</v>
      </c>
      <c r="K65" s="14" t="s">
        <v>2047</v>
      </c>
    </row>
    <row r="66" spans="1:11" ht="42" customHeight="1">
      <c r="A66" s="13" t="s">
        <v>2347</v>
      </c>
      <c r="B66" s="14" t="s">
        <v>2319</v>
      </c>
      <c r="C66" s="14" t="s">
        <v>2348</v>
      </c>
      <c r="D66" s="15" t="s">
        <v>43</v>
      </c>
      <c r="E66" s="13" t="s">
        <v>46</v>
      </c>
      <c r="F66" s="14" t="s">
        <v>2349</v>
      </c>
      <c r="G66" s="14" t="s">
        <v>109</v>
      </c>
      <c r="H66" s="14" t="s">
        <v>2350</v>
      </c>
      <c r="I66" s="14"/>
      <c r="J66" s="16" t="s">
        <v>51</v>
      </c>
      <c r="K66" s="14" t="s">
        <v>2047</v>
      </c>
    </row>
    <row r="67" spans="1:11" ht="42" customHeight="1">
      <c r="A67" s="17" t="s">
        <v>2351</v>
      </c>
      <c r="B67" s="18" t="s">
        <v>2319</v>
      </c>
      <c r="C67" s="18" t="s">
        <v>2352</v>
      </c>
      <c r="D67" s="19" t="s">
        <v>44</v>
      </c>
      <c r="E67" s="17" t="s">
        <v>46</v>
      </c>
      <c r="F67" s="18" t="s">
        <v>2353</v>
      </c>
      <c r="G67" s="18" t="s">
        <v>2354</v>
      </c>
      <c r="H67" s="18" t="s">
        <v>2355</v>
      </c>
      <c r="I67" s="18"/>
      <c r="J67" s="16" t="s">
        <v>51</v>
      </c>
      <c r="K67" s="18" t="s">
        <v>2047</v>
      </c>
    </row>
    <row r="68" spans="1:11" ht="55.5" customHeight="1">
      <c r="A68" s="17" t="s">
        <v>2356</v>
      </c>
      <c r="B68" s="18" t="s">
        <v>2319</v>
      </c>
      <c r="C68" s="18" t="s">
        <v>2357</v>
      </c>
      <c r="D68" s="19" t="s">
        <v>44</v>
      </c>
      <c r="E68" s="17" t="s">
        <v>47</v>
      </c>
      <c r="F68" s="18" t="s">
        <v>2358</v>
      </c>
      <c r="G68" s="18" t="s">
        <v>2359</v>
      </c>
      <c r="H68" s="18" t="s">
        <v>2360</v>
      </c>
      <c r="I68" s="18"/>
      <c r="J68" s="16" t="s">
        <v>51</v>
      </c>
      <c r="K68" s="18" t="s">
        <v>2361</v>
      </c>
    </row>
    <row r="69" spans="1:11" ht="27.75" customHeight="1">
      <c r="A69" s="13" t="s">
        <v>2362</v>
      </c>
      <c r="B69" s="14" t="s">
        <v>2363</v>
      </c>
      <c r="C69" s="14" t="s">
        <v>2364</v>
      </c>
      <c r="D69" s="15" t="s">
        <v>43</v>
      </c>
      <c r="E69" s="13" t="s">
        <v>45</v>
      </c>
      <c r="F69" s="14" t="s">
        <v>2365</v>
      </c>
      <c r="G69" s="14" t="s">
        <v>109</v>
      </c>
      <c r="H69" s="14" t="s">
        <v>2366</v>
      </c>
      <c r="I69" s="14"/>
      <c r="J69" s="16" t="s">
        <v>51</v>
      </c>
      <c r="K69" s="14" t="s">
        <v>2047</v>
      </c>
    </row>
    <row r="70" spans="1:11" ht="42" customHeight="1">
      <c r="A70" s="13" t="s">
        <v>2367</v>
      </c>
      <c r="B70" s="14" t="s">
        <v>2363</v>
      </c>
      <c r="C70" s="14" t="s">
        <v>2348</v>
      </c>
      <c r="D70" s="15" t="s">
        <v>43</v>
      </c>
      <c r="E70" s="13" t="s">
        <v>46</v>
      </c>
      <c r="F70" s="14" t="s">
        <v>2368</v>
      </c>
      <c r="G70" s="14" t="s">
        <v>109</v>
      </c>
      <c r="H70" s="14" t="s">
        <v>2350</v>
      </c>
      <c r="I70" s="14"/>
      <c r="J70" s="16" t="s">
        <v>51</v>
      </c>
      <c r="K70" s="14" t="s">
        <v>2047</v>
      </c>
    </row>
    <row r="71" spans="1:11" ht="42" customHeight="1">
      <c r="A71" s="13" t="s">
        <v>2369</v>
      </c>
      <c r="B71" s="14" t="s">
        <v>2363</v>
      </c>
      <c r="C71" s="14" t="s">
        <v>2370</v>
      </c>
      <c r="D71" s="15" t="s">
        <v>43</v>
      </c>
      <c r="E71" s="13" t="s">
        <v>45</v>
      </c>
      <c r="F71" s="14" t="s">
        <v>2371</v>
      </c>
      <c r="G71" s="14" t="s">
        <v>2372</v>
      </c>
      <c r="H71" s="14" t="s">
        <v>2373</v>
      </c>
      <c r="I71" s="14"/>
      <c r="J71" s="16" t="s">
        <v>51</v>
      </c>
      <c r="K71" s="14" t="s">
        <v>2047</v>
      </c>
    </row>
    <row r="72" spans="1:11" ht="55.5" customHeight="1">
      <c r="A72" s="13" t="s">
        <v>2374</v>
      </c>
      <c r="B72" s="14" t="s">
        <v>2363</v>
      </c>
      <c r="C72" s="14" t="s">
        <v>2375</v>
      </c>
      <c r="D72" s="15" t="s">
        <v>43</v>
      </c>
      <c r="E72" s="13" t="s">
        <v>45</v>
      </c>
      <c r="F72" s="14" t="s">
        <v>2376</v>
      </c>
      <c r="G72" s="14" t="s">
        <v>2377</v>
      </c>
      <c r="H72" s="14" t="s">
        <v>2378</v>
      </c>
      <c r="I72" s="14"/>
      <c r="J72" s="16" t="s">
        <v>51</v>
      </c>
      <c r="K72" s="14" t="s">
        <v>2047</v>
      </c>
    </row>
    <row r="73" spans="1:11" ht="27.75" customHeight="1">
      <c r="A73" s="17" t="s">
        <v>2379</v>
      </c>
      <c r="B73" s="18" t="s">
        <v>2363</v>
      </c>
      <c r="C73" s="18" t="s">
        <v>2380</v>
      </c>
      <c r="D73" s="19" t="s">
        <v>44</v>
      </c>
      <c r="E73" s="17" t="s">
        <v>46</v>
      </c>
      <c r="F73" s="18" t="s">
        <v>2381</v>
      </c>
      <c r="G73" s="18" t="s">
        <v>2354</v>
      </c>
      <c r="H73" s="18" t="s">
        <v>2382</v>
      </c>
      <c r="I73" s="18"/>
      <c r="J73" s="16" t="s">
        <v>51</v>
      </c>
      <c r="K73" s="18" t="s">
        <v>2047</v>
      </c>
    </row>
    <row r="74" spans="1:11" ht="42" customHeight="1">
      <c r="A74" s="13" t="s">
        <v>2383</v>
      </c>
      <c r="B74" s="14" t="s">
        <v>2363</v>
      </c>
      <c r="C74" s="14" t="s">
        <v>2384</v>
      </c>
      <c r="D74" s="15" t="s">
        <v>43</v>
      </c>
      <c r="E74" s="13" t="s">
        <v>46</v>
      </c>
      <c r="F74" s="14" t="s">
        <v>2385</v>
      </c>
      <c r="G74" s="14" t="s">
        <v>2193</v>
      </c>
      <c r="H74" s="14" t="s">
        <v>2386</v>
      </c>
      <c r="I74" s="14"/>
      <c r="J74" s="16" t="s">
        <v>51</v>
      </c>
      <c r="K74" s="14" t="s">
        <v>2047</v>
      </c>
    </row>
    <row r="75" spans="1:11" ht="42" customHeight="1">
      <c r="A75" s="13" t="s">
        <v>2387</v>
      </c>
      <c r="B75" s="14" t="s">
        <v>2388</v>
      </c>
      <c r="C75" s="14" t="s">
        <v>2389</v>
      </c>
      <c r="D75" s="15" t="s">
        <v>43</v>
      </c>
      <c r="E75" s="13" t="s">
        <v>45</v>
      </c>
      <c r="F75" s="14" t="s">
        <v>2390</v>
      </c>
      <c r="G75" s="14" t="s">
        <v>109</v>
      </c>
      <c r="H75" s="14" t="s">
        <v>2391</v>
      </c>
      <c r="I75" s="14"/>
      <c r="J75" s="16" t="s">
        <v>51</v>
      </c>
      <c r="K75" s="14" t="s">
        <v>2047</v>
      </c>
    </row>
    <row r="76" spans="1:11" ht="27.75" customHeight="1">
      <c r="A76" s="13" t="s">
        <v>2392</v>
      </c>
      <c r="B76" s="14" t="s">
        <v>2388</v>
      </c>
      <c r="C76" s="14" t="s">
        <v>2393</v>
      </c>
      <c r="D76" s="15" t="s">
        <v>43</v>
      </c>
      <c r="E76" s="13" t="s">
        <v>45</v>
      </c>
      <c r="F76" s="14" t="s">
        <v>2394</v>
      </c>
      <c r="G76" s="14" t="s">
        <v>2395</v>
      </c>
      <c r="H76" s="14" t="s">
        <v>2396</v>
      </c>
      <c r="I76" s="14"/>
      <c r="J76" s="16" t="s">
        <v>51</v>
      </c>
      <c r="K76" s="14" t="s">
        <v>2047</v>
      </c>
    </row>
    <row r="77" spans="1:11" ht="42" customHeight="1">
      <c r="A77" s="13" t="s">
        <v>2397</v>
      </c>
      <c r="B77" s="14" t="s">
        <v>2388</v>
      </c>
      <c r="C77" s="14" t="s">
        <v>2398</v>
      </c>
      <c r="D77" s="15" t="s">
        <v>43</v>
      </c>
      <c r="E77" s="13" t="s">
        <v>45</v>
      </c>
      <c r="F77" s="14" t="s">
        <v>2399</v>
      </c>
      <c r="G77" s="14" t="s">
        <v>2400</v>
      </c>
      <c r="H77" s="14" t="s">
        <v>2401</v>
      </c>
      <c r="I77" s="14"/>
      <c r="J77" s="16" t="s">
        <v>51</v>
      </c>
      <c r="K77" s="14" t="s">
        <v>2047</v>
      </c>
    </row>
    <row r="78" spans="1:11" ht="42" customHeight="1">
      <c r="A78" s="17" t="s">
        <v>2402</v>
      </c>
      <c r="B78" s="18" t="s">
        <v>2388</v>
      </c>
      <c r="C78" s="18" t="s">
        <v>2403</v>
      </c>
      <c r="D78" s="19" t="s">
        <v>44</v>
      </c>
      <c r="E78" s="17" t="s">
        <v>46</v>
      </c>
      <c r="F78" s="18" t="s">
        <v>2404</v>
      </c>
      <c r="G78" s="18" t="s">
        <v>2354</v>
      </c>
      <c r="H78" s="18" t="s">
        <v>2405</v>
      </c>
      <c r="I78" s="18"/>
      <c r="J78" s="16" t="s">
        <v>51</v>
      </c>
      <c r="K78" s="18" t="s">
        <v>2047</v>
      </c>
    </row>
    <row r="79" spans="1:11" ht="55.5" customHeight="1">
      <c r="A79" s="13" t="s">
        <v>2406</v>
      </c>
      <c r="B79" s="14" t="s">
        <v>2388</v>
      </c>
      <c r="C79" s="14" t="s">
        <v>2407</v>
      </c>
      <c r="D79" s="15" t="s">
        <v>43</v>
      </c>
      <c r="E79" s="13" t="s">
        <v>47</v>
      </c>
      <c r="F79" s="14" t="s">
        <v>2408</v>
      </c>
      <c r="G79" s="14" t="s">
        <v>109</v>
      </c>
      <c r="H79" s="14" t="s">
        <v>2409</v>
      </c>
      <c r="I79" s="14"/>
      <c r="J79" s="16" t="s">
        <v>51</v>
      </c>
      <c r="K79" s="14" t="s">
        <v>2410</v>
      </c>
    </row>
    <row r="80" spans="1:11" ht="42" customHeight="1">
      <c r="A80" s="13" t="s">
        <v>2411</v>
      </c>
      <c r="B80" s="14" t="s">
        <v>2412</v>
      </c>
      <c r="C80" s="14" t="s">
        <v>2389</v>
      </c>
      <c r="D80" s="15" t="s">
        <v>43</v>
      </c>
      <c r="E80" s="13" t="s">
        <v>45</v>
      </c>
      <c r="F80" s="14" t="s">
        <v>2413</v>
      </c>
      <c r="G80" s="14" t="s">
        <v>109</v>
      </c>
      <c r="H80" s="14" t="s">
        <v>2414</v>
      </c>
      <c r="I80" s="14"/>
      <c r="J80" s="16" t="s">
        <v>51</v>
      </c>
      <c r="K80" s="14" t="s">
        <v>2047</v>
      </c>
    </row>
    <row r="81" spans="1:11" ht="42" customHeight="1">
      <c r="A81" s="13" t="s">
        <v>2415</v>
      </c>
      <c r="B81" s="14" t="s">
        <v>2412</v>
      </c>
      <c r="C81" s="14" t="s">
        <v>2416</v>
      </c>
      <c r="D81" s="15" t="s">
        <v>43</v>
      </c>
      <c r="E81" s="13" t="s">
        <v>45</v>
      </c>
      <c r="F81" s="14" t="s">
        <v>2417</v>
      </c>
      <c r="G81" s="14" t="s">
        <v>2418</v>
      </c>
      <c r="H81" s="14" t="s">
        <v>2419</v>
      </c>
      <c r="I81" s="14"/>
      <c r="J81" s="16" t="s">
        <v>51</v>
      </c>
      <c r="K81" s="14" t="s">
        <v>2047</v>
      </c>
    </row>
    <row r="82" spans="1:11" ht="42" customHeight="1">
      <c r="A82" s="13" t="s">
        <v>2420</v>
      </c>
      <c r="B82" s="14" t="s">
        <v>2412</v>
      </c>
      <c r="C82" s="14" t="s">
        <v>2421</v>
      </c>
      <c r="D82" s="15" t="s">
        <v>43</v>
      </c>
      <c r="E82" s="13" t="s">
        <v>45</v>
      </c>
      <c r="F82" s="14" t="s">
        <v>2422</v>
      </c>
      <c r="G82" s="14" t="s">
        <v>2423</v>
      </c>
      <c r="H82" s="14" t="s">
        <v>2424</v>
      </c>
      <c r="I82" s="14"/>
      <c r="J82" s="16" t="s">
        <v>51</v>
      </c>
      <c r="K82" s="14" t="s">
        <v>2047</v>
      </c>
    </row>
    <row r="83" spans="1:11" ht="42" customHeight="1">
      <c r="A83" s="13" t="s">
        <v>2425</v>
      </c>
      <c r="B83" s="14" t="s">
        <v>2412</v>
      </c>
      <c r="C83" s="14" t="s">
        <v>2426</v>
      </c>
      <c r="D83" s="15" t="s">
        <v>43</v>
      </c>
      <c r="E83" s="13" t="s">
        <v>46</v>
      </c>
      <c r="F83" s="14" t="s">
        <v>2427</v>
      </c>
      <c r="G83" s="14" t="s">
        <v>2428</v>
      </c>
      <c r="H83" s="14" t="s">
        <v>2429</v>
      </c>
      <c r="I83" s="14"/>
      <c r="J83" s="16" t="s">
        <v>51</v>
      </c>
      <c r="K83" s="14" t="s">
        <v>2047</v>
      </c>
    </row>
    <row r="84" spans="1:11" ht="42" customHeight="1">
      <c r="A84" s="17" t="s">
        <v>2430</v>
      </c>
      <c r="B84" s="18" t="s">
        <v>2412</v>
      </c>
      <c r="C84" s="18" t="s">
        <v>2431</v>
      </c>
      <c r="D84" s="19" t="s">
        <v>44</v>
      </c>
      <c r="E84" s="17" t="s">
        <v>46</v>
      </c>
      <c r="F84" s="18" t="s">
        <v>2432</v>
      </c>
      <c r="G84" s="18" t="s">
        <v>2354</v>
      </c>
      <c r="H84" s="18" t="s">
        <v>2433</v>
      </c>
      <c r="I84" s="18"/>
      <c r="J84" s="16" t="s">
        <v>51</v>
      </c>
      <c r="K84" s="18" t="s">
        <v>2047</v>
      </c>
    </row>
    <row r="85" spans="1:11" ht="42" customHeight="1">
      <c r="A85" s="13" t="s">
        <v>2434</v>
      </c>
      <c r="B85" s="14" t="s">
        <v>2435</v>
      </c>
      <c r="C85" s="14" t="s">
        <v>2389</v>
      </c>
      <c r="D85" s="15" t="s">
        <v>43</v>
      </c>
      <c r="E85" s="13" t="s">
        <v>45</v>
      </c>
      <c r="F85" s="14" t="s">
        <v>2436</v>
      </c>
      <c r="G85" s="14" t="s">
        <v>109</v>
      </c>
      <c r="H85" s="14" t="s">
        <v>2414</v>
      </c>
      <c r="I85" s="14"/>
      <c r="J85" s="16" t="s">
        <v>51</v>
      </c>
      <c r="K85" s="14" t="s">
        <v>2047</v>
      </c>
    </row>
    <row r="86" spans="1:11" ht="42" customHeight="1">
      <c r="A86" s="13" t="s">
        <v>2437</v>
      </c>
      <c r="B86" s="14" t="s">
        <v>2435</v>
      </c>
      <c r="C86" s="14" t="s">
        <v>2421</v>
      </c>
      <c r="D86" s="15" t="s">
        <v>43</v>
      </c>
      <c r="E86" s="13" t="s">
        <v>45</v>
      </c>
      <c r="F86" s="14" t="s">
        <v>2422</v>
      </c>
      <c r="G86" s="14" t="s">
        <v>2438</v>
      </c>
      <c r="H86" s="14" t="s">
        <v>2439</v>
      </c>
      <c r="I86" s="14"/>
      <c r="J86" s="16" t="s">
        <v>51</v>
      </c>
      <c r="K86" s="14" t="s">
        <v>2047</v>
      </c>
    </row>
    <row r="87" spans="1:11" ht="55.5" customHeight="1">
      <c r="A87" s="13" t="s">
        <v>2440</v>
      </c>
      <c r="B87" s="14" t="s">
        <v>2435</v>
      </c>
      <c r="C87" s="14" t="s">
        <v>2441</v>
      </c>
      <c r="D87" s="15" t="s">
        <v>43</v>
      </c>
      <c r="E87" s="13" t="s">
        <v>45</v>
      </c>
      <c r="F87" s="14" t="s">
        <v>2442</v>
      </c>
      <c r="G87" s="14" t="s">
        <v>2423</v>
      </c>
      <c r="H87" s="14" t="s">
        <v>2443</v>
      </c>
      <c r="I87" s="14"/>
      <c r="J87" s="16" t="s">
        <v>51</v>
      </c>
      <c r="K87" s="14" t="s">
        <v>2047</v>
      </c>
    </row>
    <row r="88" spans="1:11" ht="42" customHeight="1">
      <c r="A88" s="17" t="s">
        <v>2444</v>
      </c>
      <c r="B88" s="18" t="s">
        <v>2435</v>
      </c>
      <c r="C88" s="18" t="s">
        <v>2445</v>
      </c>
      <c r="D88" s="19" t="s">
        <v>44</v>
      </c>
      <c r="E88" s="17" t="s">
        <v>46</v>
      </c>
      <c r="F88" s="18" t="s">
        <v>2446</v>
      </c>
      <c r="G88" s="18" t="s">
        <v>2354</v>
      </c>
      <c r="H88" s="18" t="s">
        <v>2433</v>
      </c>
      <c r="I88" s="18"/>
      <c r="J88" s="16" t="s">
        <v>51</v>
      </c>
      <c r="K88" s="18" t="s">
        <v>2047</v>
      </c>
    </row>
    <row r="89" spans="1:11" ht="55.5" customHeight="1">
      <c r="A89" s="13" t="s">
        <v>2447</v>
      </c>
      <c r="B89" s="14" t="s">
        <v>2435</v>
      </c>
      <c r="C89" s="14" t="s">
        <v>2448</v>
      </c>
      <c r="D89" s="15" t="s">
        <v>43</v>
      </c>
      <c r="E89" s="13" t="s">
        <v>46</v>
      </c>
      <c r="F89" s="14" t="s">
        <v>2449</v>
      </c>
      <c r="G89" s="14" t="s">
        <v>2450</v>
      </c>
      <c r="H89" s="14" t="s">
        <v>2451</v>
      </c>
      <c r="I89" s="14"/>
      <c r="J89" s="16" t="s">
        <v>51</v>
      </c>
      <c r="K89" s="14" t="s">
        <v>2452</v>
      </c>
    </row>
    <row r="90" spans="1:11" ht="55.5" customHeight="1">
      <c r="A90" s="13" t="s">
        <v>2453</v>
      </c>
      <c r="B90" s="14" t="s">
        <v>2454</v>
      </c>
      <c r="C90" s="14" t="s">
        <v>2455</v>
      </c>
      <c r="D90" s="15" t="s">
        <v>43</v>
      </c>
      <c r="E90" s="13" t="s">
        <v>45</v>
      </c>
      <c r="F90" s="14" t="s">
        <v>2456</v>
      </c>
      <c r="G90" s="14" t="s">
        <v>2457</v>
      </c>
      <c r="H90" s="14" t="s">
        <v>2458</v>
      </c>
      <c r="I90" s="14"/>
      <c r="J90" s="16" t="s">
        <v>51</v>
      </c>
      <c r="K90" s="14" t="s">
        <v>2041</v>
      </c>
    </row>
    <row r="91" spans="1:11" ht="55.5" customHeight="1">
      <c r="A91" s="17" t="s">
        <v>2459</v>
      </c>
      <c r="B91" s="18" t="s">
        <v>2454</v>
      </c>
      <c r="C91" s="18" t="s">
        <v>2460</v>
      </c>
      <c r="D91" s="19" t="s">
        <v>44</v>
      </c>
      <c r="E91" s="17" t="s">
        <v>45</v>
      </c>
      <c r="F91" s="18" t="s">
        <v>2461</v>
      </c>
      <c r="G91" s="18" t="s">
        <v>2462</v>
      </c>
      <c r="H91" s="18" t="s">
        <v>2463</v>
      </c>
      <c r="I91" s="18"/>
      <c r="J91" s="16" t="s">
        <v>51</v>
      </c>
      <c r="K91" s="18" t="s">
        <v>2047</v>
      </c>
    </row>
    <row r="92" spans="1:11" ht="55.5" customHeight="1">
      <c r="A92" s="13" t="s">
        <v>2464</v>
      </c>
      <c r="B92" s="14" t="s">
        <v>2454</v>
      </c>
      <c r="C92" s="14" t="s">
        <v>2465</v>
      </c>
      <c r="D92" s="15" t="s">
        <v>43</v>
      </c>
      <c r="E92" s="13" t="s">
        <v>45</v>
      </c>
      <c r="F92" s="14" t="s">
        <v>2466</v>
      </c>
      <c r="G92" s="14" t="s">
        <v>2467</v>
      </c>
      <c r="H92" s="14" t="s">
        <v>2468</v>
      </c>
      <c r="I92" s="14"/>
      <c r="J92" s="16" t="s">
        <v>51</v>
      </c>
      <c r="K92" s="14" t="s">
        <v>2047</v>
      </c>
    </row>
    <row r="93" spans="1:11" ht="111.75" customHeight="1">
      <c r="A93" s="13" t="s">
        <v>2469</v>
      </c>
      <c r="B93" s="14" t="s">
        <v>2454</v>
      </c>
      <c r="C93" s="14" t="s">
        <v>2470</v>
      </c>
      <c r="D93" s="15" t="s">
        <v>43</v>
      </c>
      <c r="E93" s="13" t="s">
        <v>45</v>
      </c>
      <c r="F93" s="14" t="s">
        <v>2471</v>
      </c>
      <c r="G93" s="14" t="s">
        <v>2472</v>
      </c>
      <c r="H93" s="14" t="s">
        <v>2473</v>
      </c>
      <c r="I93" s="14"/>
      <c r="J93" s="16" t="s">
        <v>51</v>
      </c>
      <c r="K93" s="14" t="s">
        <v>2047</v>
      </c>
    </row>
    <row r="94" spans="1:11" ht="42" customHeight="1">
      <c r="A94" s="13" t="s">
        <v>2474</v>
      </c>
      <c r="B94" s="14" t="s">
        <v>2454</v>
      </c>
      <c r="C94" s="14" t="s">
        <v>2475</v>
      </c>
      <c r="D94" s="15" t="s">
        <v>43</v>
      </c>
      <c r="E94" s="13" t="s">
        <v>45</v>
      </c>
      <c r="F94" s="14" t="s">
        <v>2476</v>
      </c>
      <c r="G94" s="14" t="s">
        <v>2130</v>
      </c>
      <c r="H94" s="14" t="s">
        <v>2477</v>
      </c>
      <c r="I94" s="14"/>
      <c r="J94" s="16" t="s">
        <v>51</v>
      </c>
      <c r="K94" s="14" t="s">
        <v>2047</v>
      </c>
    </row>
    <row r="95" spans="1:11" ht="55.5" customHeight="1">
      <c r="A95" s="13" t="s">
        <v>2478</v>
      </c>
      <c r="B95" s="14" t="s">
        <v>2454</v>
      </c>
      <c r="C95" s="14" t="s">
        <v>2479</v>
      </c>
      <c r="D95" s="15" t="s">
        <v>43</v>
      </c>
      <c r="E95" s="13" t="s">
        <v>45</v>
      </c>
      <c r="F95" s="14" t="s">
        <v>2480</v>
      </c>
      <c r="G95" s="14" t="s">
        <v>2481</v>
      </c>
      <c r="H95" s="14" t="s">
        <v>2482</v>
      </c>
      <c r="I95" s="14"/>
      <c r="J95" s="16" t="s">
        <v>51</v>
      </c>
      <c r="K95" s="14" t="s">
        <v>2047</v>
      </c>
    </row>
    <row r="96" spans="1:11" ht="42" customHeight="1">
      <c r="A96" s="13" t="s">
        <v>2483</v>
      </c>
      <c r="B96" s="14" t="s">
        <v>2454</v>
      </c>
      <c r="C96" s="14" t="s">
        <v>2484</v>
      </c>
      <c r="D96" s="15" t="s">
        <v>43</v>
      </c>
      <c r="E96" s="13" t="s">
        <v>46</v>
      </c>
      <c r="F96" s="14" t="s">
        <v>2485</v>
      </c>
      <c r="G96" s="14" t="s">
        <v>109</v>
      </c>
      <c r="H96" s="14" t="s">
        <v>2486</v>
      </c>
      <c r="I96" s="14"/>
      <c r="J96" s="16" t="s">
        <v>51</v>
      </c>
      <c r="K96" s="14" t="s">
        <v>2047</v>
      </c>
    </row>
    <row r="97" spans="1:11" ht="42" customHeight="1">
      <c r="A97" s="17" t="s">
        <v>2487</v>
      </c>
      <c r="B97" s="18" t="s">
        <v>2454</v>
      </c>
      <c r="C97" s="18" t="s">
        <v>2488</v>
      </c>
      <c r="D97" s="19" t="s">
        <v>44</v>
      </c>
      <c r="E97" s="17" t="s">
        <v>46</v>
      </c>
      <c r="F97" s="18" t="s">
        <v>2489</v>
      </c>
      <c r="G97" s="18" t="s">
        <v>2490</v>
      </c>
      <c r="H97" s="18" t="s">
        <v>2491</v>
      </c>
      <c r="I97" s="18"/>
      <c r="J97" s="16" t="s">
        <v>51</v>
      </c>
      <c r="K97" s="18" t="s">
        <v>2047</v>
      </c>
    </row>
    <row r="98" spans="1:11" ht="42" customHeight="1">
      <c r="A98" s="13" t="s">
        <v>2492</v>
      </c>
      <c r="B98" s="14" t="s">
        <v>2454</v>
      </c>
      <c r="C98" s="14" t="s">
        <v>2493</v>
      </c>
      <c r="D98" s="15" t="s">
        <v>43</v>
      </c>
      <c r="E98" s="13" t="s">
        <v>46</v>
      </c>
      <c r="F98" s="14" t="s">
        <v>2494</v>
      </c>
      <c r="G98" s="14" t="s">
        <v>2495</v>
      </c>
      <c r="H98" s="14" t="s">
        <v>2496</v>
      </c>
      <c r="I98" s="14"/>
      <c r="J98" s="16" t="s">
        <v>51</v>
      </c>
      <c r="K98" s="14" t="s">
        <v>2047</v>
      </c>
    </row>
    <row r="99" spans="1:11" ht="42" customHeight="1">
      <c r="A99" s="17" t="s">
        <v>2497</v>
      </c>
      <c r="B99" s="18" t="s">
        <v>2454</v>
      </c>
      <c r="C99" s="18" t="s">
        <v>2498</v>
      </c>
      <c r="D99" s="19" t="s">
        <v>44</v>
      </c>
      <c r="E99" s="17" t="s">
        <v>46</v>
      </c>
      <c r="F99" s="18" t="s">
        <v>2499</v>
      </c>
      <c r="G99" s="18" t="s">
        <v>2500</v>
      </c>
      <c r="H99" s="18" t="s">
        <v>2501</v>
      </c>
      <c r="I99" s="18"/>
      <c r="J99" s="16" t="s">
        <v>51</v>
      </c>
      <c r="K99" s="18" t="s">
        <v>2047</v>
      </c>
    </row>
    <row r="100" spans="1:11" ht="69.75" customHeight="1">
      <c r="A100" s="13" t="s">
        <v>2502</v>
      </c>
      <c r="B100" s="14" t="s">
        <v>2503</v>
      </c>
      <c r="C100" s="14" t="s">
        <v>2504</v>
      </c>
      <c r="D100" s="15" t="s">
        <v>43</v>
      </c>
      <c r="E100" s="13" t="s">
        <v>45</v>
      </c>
      <c r="F100" s="14" t="s">
        <v>2505</v>
      </c>
      <c r="G100" s="14" t="s">
        <v>109</v>
      </c>
      <c r="H100" s="14" t="s">
        <v>2506</v>
      </c>
      <c r="I100" s="14"/>
      <c r="J100" s="16" t="s">
        <v>51</v>
      </c>
      <c r="K100" s="14" t="s">
        <v>2041</v>
      </c>
    </row>
    <row r="101" spans="1:11" ht="55.5" customHeight="1">
      <c r="A101" s="13" t="s">
        <v>2507</v>
      </c>
      <c r="B101" s="14" t="s">
        <v>2503</v>
      </c>
      <c r="C101" s="14" t="s">
        <v>2508</v>
      </c>
      <c r="D101" s="15" t="s">
        <v>43</v>
      </c>
      <c r="E101" s="13" t="s">
        <v>45</v>
      </c>
      <c r="F101" s="14" t="s">
        <v>2509</v>
      </c>
      <c r="G101" s="14" t="s">
        <v>2117</v>
      </c>
      <c r="H101" s="14" t="s">
        <v>2510</v>
      </c>
      <c r="I101" s="14"/>
      <c r="J101" s="16" t="s">
        <v>51</v>
      </c>
      <c r="K101" s="14" t="s">
        <v>2047</v>
      </c>
    </row>
    <row r="102" spans="1:11" ht="55.5" customHeight="1">
      <c r="A102" s="13" t="s">
        <v>2511</v>
      </c>
      <c r="B102" s="14" t="s">
        <v>2503</v>
      </c>
      <c r="C102" s="14" t="s">
        <v>2512</v>
      </c>
      <c r="D102" s="15" t="s">
        <v>43</v>
      </c>
      <c r="E102" s="13" t="s">
        <v>46</v>
      </c>
      <c r="F102" s="14" t="s">
        <v>2513</v>
      </c>
      <c r="G102" s="14" t="s">
        <v>109</v>
      </c>
      <c r="H102" s="14" t="s">
        <v>2514</v>
      </c>
      <c r="I102" s="14"/>
      <c r="J102" s="16" t="s">
        <v>51</v>
      </c>
      <c r="K102" s="14" t="s">
        <v>2047</v>
      </c>
    </row>
    <row r="103" spans="1:11" ht="27.75" customHeight="1">
      <c r="A103" s="17" t="s">
        <v>2515</v>
      </c>
      <c r="B103" s="18" t="s">
        <v>2503</v>
      </c>
      <c r="C103" s="18" t="s">
        <v>2516</v>
      </c>
      <c r="D103" s="19" t="s">
        <v>44</v>
      </c>
      <c r="E103" s="17" t="s">
        <v>46</v>
      </c>
      <c r="F103" s="18" t="s">
        <v>2517</v>
      </c>
      <c r="G103" s="18" t="s">
        <v>109</v>
      </c>
      <c r="H103" s="18" t="s">
        <v>2518</v>
      </c>
      <c r="I103" s="18"/>
      <c r="J103" s="16" t="s">
        <v>51</v>
      </c>
      <c r="K103" s="18" t="s">
        <v>2047</v>
      </c>
    </row>
    <row r="104" spans="1:11" ht="55.5" customHeight="1">
      <c r="A104" s="13" t="s">
        <v>2519</v>
      </c>
      <c r="B104" s="14" t="s">
        <v>2503</v>
      </c>
      <c r="C104" s="14" t="s">
        <v>2520</v>
      </c>
      <c r="D104" s="15" t="s">
        <v>43</v>
      </c>
      <c r="E104" s="13" t="s">
        <v>46</v>
      </c>
      <c r="F104" s="14" t="s">
        <v>2521</v>
      </c>
      <c r="G104" s="14" t="s">
        <v>109</v>
      </c>
      <c r="H104" s="14" t="s">
        <v>2522</v>
      </c>
      <c r="I104" s="14"/>
      <c r="J104" s="16" t="s">
        <v>51</v>
      </c>
      <c r="K104" s="14" t="s">
        <v>2047</v>
      </c>
    </row>
    <row r="105" spans="1:11" ht="55.5" customHeight="1">
      <c r="A105" s="17" t="s">
        <v>2523</v>
      </c>
      <c r="B105" s="18" t="s">
        <v>2503</v>
      </c>
      <c r="C105" s="18" t="s">
        <v>2524</v>
      </c>
      <c r="D105" s="19" t="s">
        <v>44</v>
      </c>
      <c r="E105" s="17" t="s">
        <v>45</v>
      </c>
      <c r="F105" s="18" t="s">
        <v>2525</v>
      </c>
      <c r="G105" s="18" t="s">
        <v>2526</v>
      </c>
      <c r="H105" s="18" t="s">
        <v>2527</v>
      </c>
      <c r="I105" s="18"/>
      <c r="J105" s="16" t="s">
        <v>51</v>
      </c>
      <c r="K105" s="18" t="s">
        <v>2047</v>
      </c>
    </row>
    <row r="106" spans="1:11" ht="55.5" customHeight="1">
      <c r="A106" s="13" t="s">
        <v>2528</v>
      </c>
      <c r="B106" s="14" t="s">
        <v>2503</v>
      </c>
      <c r="C106" s="14" t="s">
        <v>2529</v>
      </c>
      <c r="D106" s="15" t="s">
        <v>43</v>
      </c>
      <c r="E106" s="13" t="s">
        <v>46</v>
      </c>
      <c r="F106" s="14" t="s">
        <v>2530</v>
      </c>
      <c r="G106" s="14" t="s">
        <v>2531</v>
      </c>
      <c r="H106" s="14" t="s">
        <v>2532</v>
      </c>
      <c r="I106" s="14"/>
      <c r="J106" s="16" t="s">
        <v>51</v>
      </c>
      <c r="K106" s="14" t="s">
        <v>2047</v>
      </c>
    </row>
    <row r="107" spans="1:11" ht="42" customHeight="1">
      <c r="A107" s="13" t="s">
        <v>2533</v>
      </c>
      <c r="B107" s="14" t="s">
        <v>2503</v>
      </c>
      <c r="C107" s="14" t="s">
        <v>2534</v>
      </c>
      <c r="D107" s="15" t="s">
        <v>43</v>
      </c>
      <c r="E107" s="13" t="s">
        <v>47</v>
      </c>
      <c r="F107" s="14" t="s">
        <v>2535</v>
      </c>
      <c r="G107" s="14" t="s">
        <v>2536</v>
      </c>
      <c r="H107" s="14" t="s">
        <v>2537</v>
      </c>
      <c r="I107" s="14"/>
      <c r="J107" s="16" t="s">
        <v>51</v>
      </c>
      <c r="K107" s="14" t="s">
        <v>2047</v>
      </c>
    </row>
    <row r="108" spans="1:11" ht="55.5" customHeight="1">
      <c r="A108" s="13" t="s">
        <v>2538</v>
      </c>
      <c r="B108" s="14" t="s">
        <v>2503</v>
      </c>
      <c r="C108" s="14" t="s">
        <v>2539</v>
      </c>
      <c r="D108" s="15" t="s">
        <v>43</v>
      </c>
      <c r="E108" s="13" t="s">
        <v>46</v>
      </c>
      <c r="F108" s="14" t="s">
        <v>2540</v>
      </c>
      <c r="G108" s="14" t="s">
        <v>2541</v>
      </c>
      <c r="H108" s="14" t="s">
        <v>2542</v>
      </c>
      <c r="I108" s="14"/>
      <c r="J108" s="16" t="s">
        <v>51</v>
      </c>
      <c r="K108" s="14" t="s">
        <v>2543</v>
      </c>
    </row>
    <row r="109" spans="1:11" ht="42" customHeight="1">
      <c r="A109" s="17" t="s">
        <v>2544</v>
      </c>
      <c r="B109" s="18" t="s">
        <v>2503</v>
      </c>
      <c r="C109" s="18" t="s">
        <v>2545</v>
      </c>
      <c r="D109" s="19" t="s">
        <v>44</v>
      </c>
      <c r="E109" s="17" t="s">
        <v>45</v>
      </c>
      <c r="F109" s="18" t="s">
        <v>2546</v>
      </c>
      <c r="G109" s="18" t="s">
        <v>2547</v>
      </c>
      <c r="H109" s="18" t="s">
        <v>2548</v>
      </c>
      <c r="I109" s="18"/>
      <c r="J109" s="16" t="s">
        <v>51</v>
      </c>
      <c r="K109" s="18" t="s">
        <v>2047</v>
      </c>
    </row>
  </sheetData>
  <autoFilter ref="A1:K109" xr:uid="{00000000-0009-0000-0000-000006000000}"/>
  <dataValidations count="3">
    <dataValidation type="list" allowBlank="1" sqref="D2:D109" xr:uid="{00000000-0002-0000-0600-000000000000}">
      <formula1>"Positive,Negative,Functional - Positive,Functional - Negative,Validation - Positive,Validation - Negative,Defect - Functional,Defect - Validation"</formula1>
      <formula2>0</formula2>
    </dataValidation>
    <dataValidation type="list" allowBlank="1" sqref="E2:E109" xr:uid="{00000000-0002-0000-0600-000001000000}">
      <formula1>"High,Medium,Low"</formula1>
      <formula2>0</formula2>
    </dataValidation>
    <dataValidation type="list" allowBlank="1" sqref="J2:J109" xr:uid="{00000000-0002-0000-06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15"/>
  <sheetViews>
    <sheetView zoomScaleNormal="100" workbookViewId="0">
      <selection activeCell="C2" sqref="C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84" customHeight="1">
      <c r="A2" s="13" t="s">
        <v>2549</v>
      </c>
      <c r="B2" s="14" t="s">
        <v>2550</v>
      </c>
      <c r="C2" s="14" t="s">
        <v>2551</v>
      </c>
      <c r="D2" s="15" t="s">
        <v>43</v>
      </c>
      <c r="E2" s="13" t="s">
        <v>45</v>
      </c>
      <c r="F2" s="14" t="s">
        <v>2552</v>
      </c>
      <c r="G2" s="14" t="s">
        <v>109</v>
      </c>
      <c r="H2" s="14" t="s">
        <v>2553</v>
      </c>
      <c r="I2" s="14"/>
      <c r="J2" s="16" t="s">
        <v>51</v>
      </c>
      <c r="K2" s="14" t="s">
        <v>2554</v>
      </c>
    </row>
    <row r="3" spans="1:11" ht="84" customHeight="1">
      <c r="A3" s="13" t="s">
        <v>2555</v>
      </c>
      <c r="B3" s="14" t="s">
        <v>2550</v>
      </c>
      <c r="C3" s="14" t="s">
        <v>2556</v>
      </c>
      <c r="D3" s="15" t="s">
        <v>43</v>
      </c>
      <c r="E3" s="13" t="s">
        <v>45</v>
      </c>
      <c r="F3" s="14" t="s">
        <v>2557</v>
      </c>
      <c r="G3" s="14" t="s">
        <v>2558</v>
      </c>
      <c r="H3" s="14" t="s">
        <v>2559</v>
      </c>
      <c r="I3" s="14"/>
      <c r="J3" s="16" t="s">
        <v>51</v>
      </c>
      <c r="K3" s="14" t="s">
        <v>2554</v>
      </c>
    </row>
    <row r="4" spans="1:11" ht="42" customHeight="1">
      <c r="A4" s="13" t="s">
        <v>2560</v>
      </c>
      <c r="B4" s="14" t="s">
        <v>2550</v>
      </c>
      <c r="C4" s="14" t="s">
        <v>2561</v>
      </c>
      <c r="D4" s="15" t="s">
        <v>43</v>
      </c>
      <c r="E4" s="13" t="s">
        <v>46</v>
      </c>
      <c r="F4" s="14" t="s">
        <v>2562</v>
      </c>
      <c r="G4" s="14" t="s">
        <v>2563</v>
      </c>
      <c r="H4" s="14" t="s">
        <v>2564</v>
      </c>
      <c r="I4" s="14"/>
      <c r="J4" s="16" t="s">
        <v>51</v>
      </c>
      <c r="K4" s="14" t="s">
        <v>2565</v>
      </c>
    </row>
    <row r="5" spans="1:11" ht="84" customHeight="1">
      <c r="A5" s="13" t="s">
        <v>2566</v>
      </c>
      <c r="B5" s="14" t="s">
        <v>2550</v>
      </c>
      <c r="C5" s="14" t="s">
        <v>2567</v>
      </c>
      <c r="D5" s="15" t="s">
        <v>43</v>
      </c>
      <c r="E5" s="13" t="s">
        <v>45</v>
      </c>
      <c r="F5" s="14" t="s">
        <v>2568</v>
      </c>
      <c r="G5" s="14" t="s">
        <v>109</v>
      </c>
      <c r="H5" s="14" t="s">
        <v>2569</v>
      </c>
      <c r="I5" s="14"/>
      <c r="J5" s="16" t="s">
        <v>51</v>
      </c>
      <c r="K5" s="14" t="s">
        <v>2554</v>
      </c>
    </row>
    <row r="6" spans="1:11" ht="55.5" customHeight="1">
      <c r="A6" s="17" t="s">
        <v>2570</v>
      </c>
      <c r="B6" s="18" t="s">
        <v>2550</v>
      </c>
      <c r="C6" s="18" t="s">
        <v>2571</v>
      </c>
      <c r="D6" s="19" t="s">
        <v>44</v>
      </c>
      <c r="E6" s="17" t="s">
        <v>46</v>
      </c>
      <c r="F6" s="18" t="s">
        <v>2572</v>
      </c>
      <c r="G6" s="18" t="s">
        <v>2573</v>
      </c>
      <c r="H6" s="18" t="s">
        <v>2574</v>
      </c>
      <c r="I6" s="18"/>
      <c r="J6" s="16" t="s">
        <v>51</v>
      </c>
      <c r="K6" s="18"/>
    </row>
    <row r="7" spans="1:11" ht="42" customHeight="1">
      <c r="A7" s="13" t="s">
        <v>2575</v>
      </c>
      <c r="B7" s="14" t="s">
        <v>2550</v>
      </c>
      <c r="C7" s="14" t="s">
        <v>2576</v>
      </c>
      <c r="D7" s="15" t="s">
        <v>43</v>
      </c>
      <c r="E7" s="13" t="s">
        <v>46</v>
      </c>
      <c r="F7" s="14" t="s">
        <v>2577</v>
      </c>
      <c r="G7" s="14" t="s">
        <v>2578</v>
      </c>
      <c r="H7" s="14" t="s">
        <v>2579</v>
      </c>
      <c r="I7" s="14"/>
      <c r="J7" s="16" t="s">
        <v>51</v>
      </c>
      <c r="K7" s="14"/>
    </row>
    <row r="8" spans="1:11" ht="55.5" customHeight="1">
      <c r="A8" s="17" t="s">
        <v>2580</v>
      </c>
      <c r="B8" s="18" t="s">
        <v>2550</v>
      </c>
      <c r="C8" s="18" t="s">
        <v>2581</v>
      </c>
      <c r="D8" s="19" t="s">
        <v>44</v>
      </c>
      <c r="E8" s="17" t="s">
        <v>45</v>
      </c>
      <c r="F8" s="18" t="s">
        <v>2582</v>
      </c>
      <c r="G8" s="18" t="s">
        <v>2583</v>
      </c>
      <c r="H8" s="18" t="s">
        <v>2584</v>
      </c>
      <c r="I8" s="18"/>
      <c r="J8" s="16" t="s">
        <v>51</v>
      </c>
      <c r="K8" s="18"/>
    </row>
    <row r="9" spans="1:11" ht="84" customHeight="1">
      <c r="A9" s="13" t="s">
        <v>2585</v>
      </c>
      <c r="B9" s="14" t="s">
        <v>2586</v>
      </c>
      <c r="C9" s="14" t="s">
        <v>2587</v>
      </c>
      <c r="D9" s="15" t="s">
        <v>43</v>
      </c>
      <c r="E9" s="13" t="s">
        <v>45</v>
      </c>
      <c r="F9" s="14" t="s">
        <v>2588</v>
      </c>
      <c r="G9" s="14" t="s">
        <v>2589</v>
      </c>
      <c r="H9" s="14" t="s">
        <v>2590</v>
      </c>
      <c r="I9" s="14"/>
      <c r="J9" s="16" t="s">
        <v>51</v>
      </c>
      <c r="K9" s="14" t="s">
        <v>2554</v>
      </c>
    </row>
    <row r="10" spans="1:11" ht="84" customHeight="1">
      <c r="A10" s="13" t="s">
        <v>2591</v>
      </c>
      <c r="B10" s="14" t="s">
        <v>2586</v>
      </c>
      <c r="C10" s="14" t="s">
        <v>2592</v>
      </c>
      <c r="D10" s="15" t="s">
        <v>43</v>
      </c>
      <c r="E10" s="13" t="s">
        <v>46</v>
      </c>
      <c r="F10" s="14" t="s">
        <v>2593</v>
      </c>
      <c r="G10" s="14" t="s">
        <v>2594</v>
      </c>
      <c r="H10" s="14" t="s">
        <v>2595</v>
      </c>
      <c r="I10" s="14"/>
      <c r="J10" s="16" t="s">
        <v>51</v>
      </c>
      <c r="K10" s="14" t="s">
        <v>2554</v>
      </c>
    </row>
    <row r="11" spans="1:11" ht="84" customHeight="1">
      <c r="A11" s="17" t="s">
        <v>2596</v>
      </c>
      <c r="B11" s="18" t="s">
        <v>2586</v>
      </c>
      <c r="C11" s="18" t="s">
        <v>2597</v>
      </c>
      <c r="D11" s="19" t="s">
        <v>44</v>
      </c>
      <c r="E11" s="17" t="s">
        <v>45</v>
      </c>
      <c r="F11" s="18" t="s">
        <v>2598</v>
      </c>
      <c r="G11" s="18" t="s">
        <v>2599</v>
      </c>
      <c r="H11" s="18" t="s">
        <v>2600</v>
      </c>
      <c r="I11" s="18"/>
      <c r="J11" s="16" t="s">
        <v>51</v>
      </c>
      <c r="K11" s="18" t="s">
        <v>2554</v>
      </c>
    </row>
    <row r="12" spans="1:11" ht="84" customHeight="1">
      <c r="A12" s="13" t="s">
        <v>2601</v>
      </c>
      <c r="B12" s="14" t="s">
        <v>2586</v>
      </c>
      <c r="C12" s="14" t="s">
        <v>2602</v>
      </c>
      <c r="D12" s="15" t="s">
        <v>43</v>
      </c>
      <c r="E12" s="13" t="s">
        <v>45</v>
      </c>
      <c r="F12" s="14" t="s">
        <v>2603</v>
      </c>
      <c r="G12" s="14" t="s">
        <v>2604</v>
      </c>
      <c r="H12" s="14" t="s">
        <v>2605</v>
      </c>
      <c r="I12" s="14"/>
      <c r="J12" s="16" t="s">
        <v>51</v>
      </c>
      <c r="K12" s="14" t="s">
        <v>2554</v>
      </c>
    </row>
    <row r="13" spans="1:11" ht="27.75" customHeight="1">
      <c r="A13" s="13" t="s">
        <v>2606</v>
      </c>
      <c r="B13" s="14" t="s">
        <v>2586</v>
      </c>
      <c r="C13" s="14" t="s">
        <v>2607</v>
      </c>
      <c r="D13" s="15" t="s">
        <v>43</v>
      </c>
      <c r="E13" s="13" t="s">
        <v>46</v>
      </c>
      <c r="F13" s="14" t="s">
        <v>2608</v>
      </c>
      <c r="G13" s="14" t="s">
        <v>2609</v>
      </c>
      <c r="H13" s="14" t="s">
        <v>2610</v>
      </c>
      <c r="I13" s="14"/>
      <c r="J13" s="16" t="s">
        <v>51</v>
      </c>
      <c r="K13" s="14"/>
    </row>
    <row r="14" spans="1:11" ht="42" customHeight="1">
      <c r="A14" s="17" t="s">
        <v>2611</v>
      </c>
      <c r="B14" s="18" t="s">
        <v>2586</v>
      </c>
      <c r="C14" s="18" t="s">
        <v>2612</v>
      </c>
      <c r="D14" s="19" t="s">
        <v>44</v>
      </c>
      <c r="E14" s="17" t="s">
        <v>45</v>
      </c>
      <c r="F14" s="18" t="s">
        <v>2613</v>
      </c>
      <c r="G14" s="18" t="s">
        <v>2614</v>
      </c>
      <c r="H14" s="18" t="s">
        <v>2615</v>
      </c>
      <c r="I14" s="18"/>
      <c r="J14" s="16" t="s">
        <v>51</v>
      </c>
      <c r="K14" s="18"/>
    </row>
    <row r="15" spans="1:11" ht="42" customHeight="1">
      <c r="A15" s="17" t="s">
        <v>2616</v>
      </c>
      <c r="B15" s="18" t="s">
        <v>2586</v>
      </c>
      <c r="C15" s="18" t="s">
        <v>2617</v>
      </c>
      <c r="D15" s="19" t="s">
        <v>44</v>
      </c>
      <c r="E15" s="17" t="s">
        <v>47</v>
      </c>
      <c r="F15" s="18" t="s">
        <v>2618</v>
      </c>
      <c r="G15" s="18" t="s">
        <v>2619</v>
      </c>
      <c r="H15" s="18" t="s">
        <v>2620</v>
      </c>
      <c r="I15" s="18"/>
      <c r="J15" s="16" t="s">
        <v>51</v>
      </c>
      <c r="K15" s="18"/>
    </row>
    <row r="16" spans="1:11" ht="55.5" customHeight="1">
      <c r="A16" s="13" t="s">
        <v>2621</v>
      </c>
      <c r="B16" s="14" t="s">
        <v>2586</v>
      </c>
      <c r="C16" s="14" t="s">
        <v>2622</v>
      </c>
      <c r="D16" s="15" t="s">
        <v>43</v>
      </c>
      <c r="E16" s="13" t="s">
        <v>46</v>
      </c>
      <c r="F16" s="14" t="s">
        <v>2623</v>
      </c>
      <c r="G16" s="14" t="s">
        <v>2624</v>
      </c>
      <c r="H16" s="14" t="s">
        <v>2625</v>
      </c>
      <c r="I16" s="14"/>
      <c r="J16" s="16" t="s">
        <v>51</v>
      </c>
      <c r="K16" s="14" t="s">
        <v>2626</v>
      </c>
    </row>
    <row r="17" spans="1:11" ht="84" customHeight="1">
      <c r="A17" s="13" t="s">
        <v>2627</v>
      </c>
      <c r="B17" s="14" t="s">
        <v>2628</v>
      </c>
      <c r="C17" s="14" t="s">
        <v>2629</v>
      </c>
      <c r="D17" s="15" t="s">
        <v>43</v>
      </c>
      <c r="E17" s="13" t="s">
        <v>45</v>
      </c>
      <c r="F17" s="14" t="s">
        <v>2630</v>
      </c>
      <c r="G17" s="14" t="s">
        <v>109</v>
      </c>
      <c r="H17" s="14" t="s">
        <v>2631</v>
      </c>
      <c r="I17" s="14"/>
      <c r="J17" s="16" t="s">
        <v>51</v>
      </c>
      <c r="K17" s="14" t="s">
        <v>2554</v>
      </c>
    </row>
    <row r="18" spans="1:11" ht="84" customHeight="1">
      <c r="A18" s="13" t="s">
        <v>2632</v>
      </c>
      <c r="B18" s="14" t="s">
        <v>2628</v>
      </c>
      <c r="C18" s="14" t="s">
        <v>2633</v>
      </c>
      <c r="D18" s="15" t="s">
        <v>43</v>
      </c>
      <c r="E18" s="13" t="s">
        <v>47</v>
      </c>
      <c r="F18" s="14" t="s">
        <v>2634</v>
      </c>
      <c r="G18" s="14" t="s">
        <v>109</v>
      </c>
      <c r="H18" s="14" t="s">
        <v>2635</v>
      </c>
      <c r="I18" s="14"/>
      <c r="J18" s="16" t="s">
        <v>51</v>
      </c>
      <c r="K18" s="14" t="s">
        <v>2554</v>
      </c>
    </row>
    <row r="19" spans="1:11" ht="84" customHeight="1">
      <c r="A19" s="13" t="s">
        <v>2636</v>
      </c>
      <c r="B19" s="14" t="s">
        <v>2628</v>
      </c>
      <c r="C19" s="14" t="s">
        <v>2637</v>
      </c>
      <c r="D19" s="15" t="s">
        <v>43</v>
      </c>
      <c r="E19" s="13" t="s">
        <v>46</v>
      </c>
      <c r="F19" s="14" t="s">
        <v>2638</v>
      </c>
      <c r="G19" s="14" t="s">
        <v>109</v>
      </c>
      <c r="H19" s="14" t="s">
        <v>2639</v>
      </c>
      <c r="I19" s="14"/>
      <c r="J19" s="16" t="s">
        <v>51</v>
      </c>
      <c r="K19" s="14" t="s">
        <v>2554</v>
      </c>
    </row>
    <row r="20" spans="1:11" ht="84" customHeight="1">
      <c r="A20" s="13" t="s">
        <v>2640</v>
      </c>
      <c r="B20" s="14" t="s">
        <v>2628</v>
      </c>
      <c r="C20" s="14" t="s">
        <v>2641</v>
      </c>
      <c r="D20" s="15" t="s">
        <v>43</v>
      </c>
      <c r="E20" s="13" t="s">
        <v>47</v>
      </c>
      <c r="F20" s="14" t="s">
        <v>2642</v>
      </c>
      <c r="G20" s="14" t="s">
        <v>109</v>
      </c>
      <c r="H20" s="14" t="s">
        <v>2643</v>
      </c>
      <c r="I20" s="14"/>
      <c r="J20" s="16" t="s">
        <v>51</v>
      </c>
      <c r="K20" s="14" t="s">
        <v>2554</v>
      </c>
    </row>
    <row r="21" spans="1:11" ht="84" customHeight="1">
      <c r="A21" s="13" t="s">
        <v>2644</v>
      </c>
      <c r="B21" s="14" t="s">
        <v>2628</v>
      </c>
      <c r="C21" s="14" t="s">
        <v>2645</v>
      </c>
      <c r="D21" s="15" t="s">
        <v>43</v>
      </c>
      <c r="E21" s="13" t="s">
        <v>46</v>
      </c>
      <c r="F21" s="14" t="s">
        <v>2646</v>
      </c>
      <c r="G21" s="14" t="s">
        <v>2647</v>
      </c>
      <c r="H21" s="14" t="s">
        <v>2648</v>
      </c>
      <c r="I21" s="14"/>
      <c r="J21" s="16" t="s">
        <v>51</v>
      </c>
      <c r="K21" s="14" t="s">
        <v>2554</v>
      </c>
    </row>
    <row r="22" spans="1:11" ht="42" customHeight="1">
      <c r="A22" s="13" t="s">
        <v>2649</v>
      </c>
      <c r="B22" s="14" t="s">
        <v>2628</v>
      </c>
      <c r="C22" s="14" t="s">
        <v>2650</v>
      </c>
      <c r="D22" s="15" t="s">
        <v>43</v>
      </c>
      <c r="E22" s="13" t="s">
        <v>46</v>
      </c>
      <c r="F22" s="14" t="s">
        <v>2651</v>
      </c>
      <c r="G22" s="14" t="s">
        <v>2536</v>
      </c>
      <c r="H22" s="14" t="s">
        <v>2652</v>
      </c>
      <c r="I22" s="14"/>
      <c r="J22" s="16" t="s">
        <v>51</v>
      </c>
      <c r="K22" s="14"/>
    </row>
    <row r="23" spans="1:11" ht="84" customHeight="1">
      <c r="A23" s="13" t="s">
        <v>2653</v>
      </c>
      <c r="B23" s="14" t="s">
        <v>2628</v>
      </c>
      <c r="C23" s="14" t="s">
        <v>2654</v>
      </c>
      <c r="D23" s="15" t="s">
        <v>43</v>
      </c>
      <c r="E23" s="13" t="s">
        <v>47</v>
      </c>
      <c r="F23" s="14" t="s">
        <v>2655</v>
      </c>
      <c r="G23" s="14" t="s">
        <v>109</v>
      </c>
      <c r="H23" s="14" t="s">
        <v>2656</v>
      </c>
      <c r="I23" s="14"/>
      <c r="J23" s="16" t="s">
        <v>51</v>
      </c>
      <c r="K23" s="14" t="s">
        <v>2554</v>
      </c>
    </row>
    <row r="24" spans="1:11" ht="42" customHeight="1">
      <c r="A24" s="17" t="s">
        <v>2657</v>
      </c>
      <c r="B24" s="18" t="s">
        <v>2628</v>
      </c>
      <c r="C24" s="18" t="s">
        <v>2658</v>
      </c>
      <c r="D24" s="19" t="s">
        <v>44</v>
      </c>
      <c r="E24" s="17" t="s">
        <v>46</v>
      </c>
      <c r="F24" s="18" t="s">
        <v>2659</v>
      </c>
      <c r="G24" s="18" t="s">
        <v>2660</v>
      </c>
      <c r="H24" s="18" t="s">
        <v>2661</v>
      </c>
      <c r="I24" s="18"/>
      <c r="J24" s="16" t="s">
        <v>51</v>
      </c>
      <c r="K24" s="18"/>
    </row>
    <row r="25" spans="1:11" ht="84" customHeight="1">
      <c r="A25" s="13" t="s">
        <v>2662</v>
      </c>
      <c r="B25" s="14" t="s">
        <v>2663</v>
      </c>
      <c r="C25" s="14" t="s">
        <v>2664</v>
      </c>
      <c r="D25" s="15" t="s">
        <v>43</v>
      </c>
      <c r="E25" s="13" t="s">
        <v>46</v>
      </c>
      <c r="F25" s="14" t="s">
        <v>2665</v>
      </c>
      <c r="G25" s="14" t="s">
        <v>2666</v>
      </c>
      <c r="H25" s="14" t="s">
        <v>2667</v>
      </c>
      <c r="I25" s="14"/>
      <c r="J25" s="16" t="s">
        <v>51</v>
      </c>
      <c r="K25" s="14" t="s">
        <v>2554</v>
      </c>
    </row>
    <row r="26" spans="1:11" ht="84" customHeight="1">
      <c r="A26" s="17" t="s">
        <v>2668</v>
      </c>
      <c r="B26" s="18" t="s">
        <v>2663</v>
      </c>
      <c r="C26" s="18" t="s">
        <v>2669</v>
      </c>
      <c r="D26" s="19" t="s">
        <v>44</v>
      </c>
      <c r="E26" s="17" t="s">
        <v>46</v>
      </c>
      <c r="F26" s="18" t="s">
        <v>2670</v>
      </c>
      <c r="G26" s="18" t="s">
        <v>2671</v>
      </c>
      <c r="H26" s="18" t="s">
        <v>2672</v>
      </c>
      <c r="I26" s="18"/>
      <c r="J26" s="16" t="s">
        <v>51</v>
      </c>
      <c r="K26" s="18" t="s">
        <v>2554</v>
      </c>
    </row>
    <row r="27" spans="1:11" ht="84" customHeight="1">
      <c r="A27" s="17" t="s">
        <v>2673</v>
      </c>
      <c r="B27" s="18" t="s">
        <v>2663</v>
      </c>
      <c r="C27" s="18" t="s">
        <v>2674</v>
      </c>
      <c r="D27" s="19" t="s">
        <v>44</v>
      </c>
      <c r="E27" s="17" t="s">
        <v>46</v>
      </c>
      <c r="F27" s="18" t="s">
        <v>2675</v>
      </c>
      <c r="G27" s="18" t="s">
        <v>2676</v>
      </c>
      <c r="H27" s="18" t="s">
        <v>2677</v>
      </c>
      <c r="I27" s="18"/>
      <c r="J27" s="16" t="s">
        <v>51</v>
      </c>
      <c r="K27" s="18" t="s">
        <v>2554</v>
      </c>
    </row>
    <row r="28" spans="1:11" ht="84" customHeight="1">
      <c r="A28" s="17" t="s">
        <v>2678</v>
      </c>
      <c r="B28" s="18" t="s">
        <v>2663</v>
      </c>
      <c r="C28" s="18" t="s">
        <v>2679</v>
      </c>
      <c r="D28" s="19" t="s">
        <v>44</v>
      </c>
      <c r="E28" s="17" t="s">
        <v>45</v>
      </c>
      <c r="F28" s="18" t="s">
        <v>2680</v>
      </c>
      <c r="G28" s="18" t="s">
        <v>2681</v>
      </c>
      <c r="H28" s="18" t="s">
        <v>2682</v>
      </c>
      <c r="I28" s="18"/>
      <c r="J28" s="16" t="s">
        <v>51</v>
      </c>
      <c r="K28" s="18" t="s">
        <v>2554</v>
      </c>
    </row>
    <row r="29" spans="1:11" ht="84" customHeight="1">
      <c r="A29" s="13" t="s">
        <v>2683</v>
      </c>
      <c r="B29" s="14" t="s">
        <v>2663</v>
      </c>
      <c r="C29" s="14" t="s">
        <v>2684</v>
      </c>
      <c r="D29" s="15" t="s">
        <v>43</v>
      </c>
      <c r="E29" s="13" t="s">
        <v>46</v>
      </c>
      <c r="F29" s="14" t="s">
        <v>2685</v>
      </c>
      <c r="G29" s="14" t="s">
        <v>2686</v>
      </c>
      <c r="H29" s="14" t="s">
        <v>2687</v>
      </c>
      <c r="I29" s="14"/>
      <c r="J29" s="16" t="s">
        <v>51</v>
      </c>
      <c r="K29" s="14" t="s">
        <v>2554</v>
      </c>
    </row>
    <row r="30" spans="1:11" ht="84" customHeight="1">
      <c r="A30" s="13" t="s">
        <v>2688</v>
      </c>
      <c r="B30" s="14" t="s">
        <v>2663</v>
      </c>
      <c r="C30" s="14" t="s">
        <v>2689</v>
      </c>
      <c r="D30" s="15" t="s">
        <v>43</v>
      </c>
      <c r="E30" s="13" t="s">
        <v>47</v>
      </c>
      <c r="F30" s="14" t="s">
        <v>2690</v>
      </c>
      <c r="G30" s="14" t="s">
        <v>2691</v>
      </c>
      <c r="H30" s="14" t="s">
        <v>2692</v>
      </c>
      <c r="I30" s="14"/>
      <c r="J30" s="16" t="s">
        <v>51</v>
      </c>
      <c r="K30" s="14" t="s">
        <v>2554</v>
      </c>
    </row>
    <row r="31" spans="1:11" ht="84" customHeight="1">
      <c r="A31" s="17" t="s">
        <v>2693</v>
      </c>
      <c r="B31" s="18" t="s">
        <v>2663</v>
      </c>
      <c r="C31" s="18" t="s">
        <v>2694</v>
      </c>
      <c r="D31" s="19" t="s">
        <v>44</v>
      </c>
      <c r="E31" s="17" t="s">
        <v>46</v>
      </c>
      <c r="F31" s="18" t="s">
        <v>2695</v>
      </c>
      <c r="G31" s="18" t="s">
        <v>2696</v>
      </c>
      <c r="H31" s="18" t="s">
        <v>2677</v>
      </c>
      <c r="I31" s="18"/>
      <c r="J31" s="16" t="s">
        <v>51</v>
      </c>
      <c r="K31" s="18" t="s">
        <v>2554</v>
      </c>
    </row>
    <row r="32" spans="1:11" ht="84" customHeight="1">
      <c r="A32" s="17" t="s">
        <v>2697</v>
      </c>
      <c r="B32" s="18" t="s">
        <v>2663</v>
      </c>
      <c r="C32" s="18" t="s">
        <v>2698</v>
      </c>
      <c r="D32" s="19" t="s">
        <v>44</v>
      </c>
      <c r="E32" s="17" t="s">
        <v>45</v>
      </c>
      <c r="F32" s="18" t="s">
        <v>2699</v>
      </c>
      <c r="G32" s="18" t="s">
        <v>2700</v>
      </c>
      <c r="H32" s="18" t="s">
        <v>2682</v>
      </c>
      <c r="I32" s="18"/>
      <c r="J32" s="16" t="s">
        <v>51</v>
      </c>
      <c r="K32" s="18" t="s">
        <v>2554</v>
      </c>
    </row>
    <row r="33" spans="1:11" ht="84" customHeight="1">
      <c r="A33" s="13" t="s">
        <v>2701</v>
      </c>
      <c r="B33" s="14" t="s">
        <v>2663</v>
      </c>
      <c r="C33" s="14" t="s">
        <v>2702</v>
      </c>
      <c r="D33" s="15" t="s">
        <v>43</v>
      </c>
      <c r="E33" s="13" t="s">
        <v>46</v>
      </c>
      <c r="F33" s="14" t="s">
        <v>2703</v>
      </c>
      <c r="G33" s="14" t="s">
        <v>2704</v>
      </c>
      <c r="H33" s="14" t="s">
        <v>2705</v>
      </c>
      <c r="I33" s="14"/>
      <c r="J33" s="16" t="s">
        <v>51</v>
      </c>
      <c r="K33" s="14" t="s">
        <v>2554</v>
      </c>
    </row>
    <row r="34" spans="1:11" ht="84" customHeight="1">
      <c r="A34" s="17" t="s">
        <v>2706</v>
      </c>
      <c r="B34" s="18" t="s">
        <v>2663</v>
      </c>
      <c r="C34" s="18" t="s">
        <v>2707</v>
      </c>
      <c r="D34" s="19" t="s">
        <v>44</v>
      </c>
      <c r="E34" s="17" t="s">
        <v>46</v>
      </c>
      <c r="F34" s="18" t="s">
        <v>2708</v>
      </c>
      <c r="G34" s="18" t="s">
        <v>2647</v>
      </c>
      <c r="H34" s="18" t="s">
        <v>2709</v>
      </c>
      <c r="I34" s="18"/>
      <c r="J34" s="16" t="s">
        <v>51</v>
      </c>
      <c r="K34" s="18" t="s">
        <v>2554</v>
      </c>
    </row>
    <row r="35" spans="1:11" ht="84" customHeight="1">
      <c r="A35" s="17" t="s">
        <v>2710</v>
      </c>
      <c r="B35" s="18" t="s">
        <v>2663</v>
      </c>
      <c r="C35" s="18" t="s">
        <v>2711</v>
      </c>
      <c r="D35" s="19" t="s">
        <v>44</v>
      </c>
      <c r="E35" s="17" t="s">
        <v>46</v>
      </c>
      <c r="F35" s="18" t="s">
        <v>2712</v>
      </c>
      <c r="G35" s="18" t="s">
        <v>2713</v>
      </c>
      <c r="H35" s="18" t="s">
        <v>2714</v>
      </c>
      <c r="I35" s="18"/>
      <c r="J35" s="16" t="s">
        <v>51</v>
      </c>
      <c r="K35" s="18" t="s">
        <v>2554</v>
      </c>
    </row>
    <row r="36" spans="1:11" ht="84" customHeight="1">
      <c r="A36" s="17" t="s">
        <v>2715</v>
      </c>
      <c r="B36" s="18" t="s">
        <v>2663</v>
      </c>
      <c r="C36" s="18" t="s">
        <v>2716</v>
      </c>
      <c r="D36" s="19" t="s">
        <v>44</v>
      </c>
      <c r="E36" s="17" t="s">
        <v>46</v>
      </c>
      <c r="F36" s="18" t="s">
        <v>2717</v>
      </c>
      <c r="G36" s="18" t="s">
        <v>2718</v>
      </c>
      <c r="H36" s="18" t="s">
        <v>2719</v>
      </c>
      <c r="I36" s="18"/>
      <c r="J36" s="16" t="s">
        <v>51</v>
      </c>
      <c r="K36" s="18" t="s">
        <v>2554</v>
      </c>
    </row>
    <row r="37" spans="1:11" ht="84" customHeight="1">
      <c r="A37" s="17" t="s">
        <v>2720</v>
      </c>
      <c r="B37" s="18" t="s">
        <v>2663</v>
      </c>
      <c r="C37" s="18" t="s">
        <v>2721</v>
      </c>
      <c r="D37" s="19" t="s">
        <v>44</v>
      </c>
      <c r="E37" s="17" t="s">
        <v>45</v>
      </c>
      <c r="F37" s="18" t="s">
        <v>2722</v>
      </c>
      <c r="G37" s="18" t="s">
        <v>2723</v>
      </c>
      <c r="H37" s="18" t="s">
        <v>2724</v>
      </c>
      <c r="I37" s="18"/>
      <c r="J37" s="16" t="s">
        <v>51</v>
      </c>
      <c r="K37" s="18" t="s">
        <v>2554</v>
      </c>
    </row>
    <row r="38" spans="1:11" ht="84" customHeight="1">
      <c r="A38" s="17" t="s">
        <v>2725</v>
      </c>
      <c r="B38" s="18" t="s">
        <v>2663</v>
      </c>
      <c r="C38" s="18" t="s">
        <v>2726</v>
      </c>
      <c r="D38" s="19" t="s">
        <v>44</v>
      </c>
      <c r="E38" s="17" t="s">
        <v>47</v>
      </c>
      <c r="F38" s="18" t="s">
        <v>2727</v>
      </c>
      <c r="G38" s="18" t="s">
        <v>2728</v>
      </c>
      <c r="H38" s="18" t="s">
        <v>2729</v>
      </c>
      <c r="I38" s="18"/>
      <c r="J38" s="16" t="s">
        <v>51</v>
      </c>
      <c r="K38" s="18" t="s">
        <v>2554</v>
      </c>
    </row>
    <row r="39" spans="1:11" ht="84" customHeight="1">
      <c r="A39" s="13" t="s">
        <v>2730</v>
      </c>
      <c r="B39" s="14" t="s">
        <v>2663</v>
      </c>
      <c r="C39" s="14" t="s">
        <v>2731</v>
      </c>
      <c r="D39" s="15" t="s">
        <v>43</v>
      </c>
      <c r="E39" s="13" t="s">
        <v>45</v>
      </c>
      <c r="F39" s="14" t="s">
        <v>2732</v>
      </c>
      <c r="G39" s="14" t="s">
        <v>2733</v>
      </c>
      <c r="H39" s="14" t="s">
        <v>2734</v>
      </c>
      <c r="I39" s="14"/>
      <c r="J39" s="16" t="s">
        <v>51</v>
      </c>
      <c r="K39" s="14" t="s">
        <v>2554</v>
      </c>
    </row>
    <row r="40" spans="1:11" ht="84" customHeight="1">
      <c r="A40" s="17" t="s">
        <v>2735</v>
      </c>
      <c r="B40" s="18" t="s">
        <v>2663</v>
      </c>
      <c r="C40" s="18" t="s">
        <v>2736</v>
      </c>
      <c r="D40" s="19" t="s">
        <v>44</v>
      </c>
      <c r="E40" s="17" t="s">
        <v>45</v>
      </c>
      <c r="F40" s="18" t="s">
        <v>2737</v>
      </c>
      <c r="G40" s="18" t="s">
        <v>1265</v>
      </c>
      <c r="H40" s="18" t="s">
        <v>2738</v>
      </c>
      <c r="I40" s="18"/>
      <c r="J40" s="16" t="s">
        <v>51</v>
      </c>
      <c r="K40" s="18" t="s">
        <v>2554</v>
      </c>
    </row>
    <row r="41" spans="1:11" ht="84" customHeight="1">
      <c r="A41" s="17" t="s">
        <v>2739</v>
      </c>
      <c r="B41" s="18" t="s">
        <v>2663</v>
      </c>
      <c r="C41" s="18" t="s">
        <v>2740</v>
      </c>
      <c r="D41" s="19" t="s">
        <v>44</v>
      </c>
      <c r="E41" s="17" t="s">
        <v>45</v>
      </c>
      <c r="F41" s="18" t="s">
        <v>2741</v>
      </c>
      <c r="G41" s="18" t="s">
        <v>2742</v>
      </c>
      <c r="H41" s="18" t="s">
        <v>2743</v>
      </c>
      <c r="I41" s="18"/>
      <c r="J41" s="16" t="s">
        <v>51</v>
      </c>
      <c r="K41" s="18" t="s">
        <v>2554</v>
      </c>
    </row>
    <row r="42" spans="1:11" ht="84" customHeight="1">
      <c r="A42" s="17" t="s">
        <v>2744</v>
      </c>
      <c r="B42" s="18" t="s">
        <v>2663</v>
      </c>
      <c r="C42" s="18" t="s">
        <v>2745</v>
      </c>
      <c r="D42" s="19" t="s">
        <v>44</v>
      </c>
      <c r="E42" s="17" t="s">
        <v>47</v>
      </c>
      <c r="F42" s="18" t="s">
        <v>2746</v>
      </c>
      <c r="G42" s="18" t="s">
        <v>2747</v>
      </c>
      <c r="H42" s="18" t="s">
        <v>2748</v>
      </c>
      <c r="I42" s="18"/>
      <c r="J42" s="16" t="s">
        <v>51</v>
      </c>
      <c r="K42" s="18" t="s">
        <v>2554</v>
      </c>
    </row>
    <row r="43" spans="1:11" ht="84" customHeight="1">
      <c r="A43" s="17" t="s">
        <v>2749</v>
      </c>
      <c r="B43" s="18" t="s">
        <v>2663</v>
      </c>
      <c r="C43" s="18" t="s">
        <v>2750</v>
      </c>
      <c r="D43" s="19" t="s">
        <v>44</v>
      </c>
      <c r="E43" s="17" t="s">
        <v>45</v>
      </c>
      <c r="F43" s="18" t="s">
        <v>2751</v>
      </c>
      <c r="G43" s="18" t="s">
        <v>2752</v>
      </c>
      <c r="H43" s="18" t="s">
        <v>2753</v>
      </c>
      <c r="I43" s="18"/>
      <c r="J43" s="16" t="s">
        <v>51</v>
      </c>
      <c r="K43" s="18" t="s">
        <v>2554</v>
      </c>
    </row>
    <row r="44" spans="1:11" ht="84" customHeight="1">
      <c r="A44" s="17" t="s">
        <v>2754</v>
      </c>
      <c r="B44" s="18" t="s">
        <v>2663</v>
      </c>
      <c r="C44" s="18" t="s">
        <v>2755</v>
      </c>
      <c r="D44" s="19" t="s">
        <v>44</v>
      </c>
      <c r="E44" s="17" t="s">
        <v>46</v>
      </c>
      <c r="F44" s="18" t="s">
        <v>2756</v>
      </c>
      <c r="G44" s="18" t="s">
        <v>2757</v>
      </c>
      <c r="H44" s="18" t="s">
        <v>2758</v>
      </c>
      <c r="I44" s="18"/>
      <c r="J44" s="16" t="s">
        <v>51</v>
      </c>
      <c r="K44" s="18" t="s">
        <v>2554</v>
      </c>
    </row>
    <row r="45" spans="1:11" ht="84" customHeight="1">
      <c r="A45" s="13" t="s">
        <v>2759</v>
      </c>
      <c r="B45" s="14" t="s">
        <v>2663</v>
      </c>
      <c r="C45" s="14" t="s">
        <v>2760</v>
      </c>
      <c r="D45" s="15" t="s">
        <v>43</v>
      </c>
      <c r="E45" s="13" t="s">
        <v>46</v>
      </c>
      <c r="F45" s="14" t="s">
        <v>2761</v>
      </c>
      <c r="G45" s="14" t="s">
        <v>2762</v>
      </c>
      <c r="H45" s="14" t="s">
        <v>2763</v>
      </c>
      <c r="I45" s="14"/>
      <c r="J45" s="16" t="s">
        <v>51</v>
      </c>
      <c r="K45" s="14" t="s">
        <v>2554</v>
      </c>
    </row>
    <row r="46" spans="1:11" ht="84" customHeight="1">
      <c r="A46" s="17" t="s">
        <v>2764</v>
      </c>
      <c r="B46" s="18" t="s">
        <v>2663</v>
      </c>
      <c r="C46" s="18" t="s">
        <v>2765</v>
      </c>
      <c r="D46" s="19" t="s">
        <v>44</v>
      </c>
      <c r="E46" s="17" t="s">
        <v>46</v>
      </c>
      <c r="F46" s="18" t="s">
        <v>2766</v>
      </c>
      <c r="G46" s="18" t="s">
        <v>679</v>
      </c>
      <c r="H46" s="18" t="s">
        <v>2767</v>
      </c>
      <c r="I46" s="18"/>
      <c r="J46" s="16" t="s">
        <v>51</v>
      </c>
      <c r="K46" s="18" t="s">
        <v>2554</v>
      </c>
    </row>
    <row r="47" spans="1:11" ht="84" customHeight="1">
      <c r="A47" s="17" t="s">
        <v>2768</v>
      </c>
      <c r="B47" s="18" t="s">
        <v>2663</v>
      </c>
      <c r="C47" s="18" t="s">
        <v>2769</v>
      </c>
      <c r="D47" s="19" t="s">
        <v>44</v>
      </c>
      <c r="E47" s="17" t="s">
        <v>46</v>
      </c>
      <c r="F47" s="18" t="s">
        <v>2770</v>
      </c>
      <c r="G47" s="18" t="s">
        <v>2771</v>
      </c>
      <c r="H47" s="18" t="s">
        <v>2714</v>
      </c>
      <c r="I47" s="18"/>
      <c r="J47" s="16" t="s">
        <v>51</v>
      </c>
      <c r="K47" s="18" t="s">
        <v>2554</v>
      </c>
    </row>
    <row r="48" spans="1:11" ht="84" customHeight="1">
      <c r="A48" s="17" t="s">
        <v>2772</v>
      </c>
      <c r="B48" s="18" t="s">
        <v>2663</v>
      </c>
      <c r="C48" s="18" t="s">
        <v>686</v>
      </c>
      <c r="D48" s="19" t="s">
        <v>44</v>
      </c>
      <c r="E48" s="17" t="s">
        <v>46</v>
      </c>
      <c r="F48" s="18" t="s">
        <v>2773</v>
      </c>
      <c r="G48" s="18" t="s">
        <v>688</v>
      </c>
      <c r="H48" s="18" t="s">
        <v>2719</v>
      </c>
      <c r="I48" s="18"/>
      <c r="J48" s="16" t="s">
        <v>51</v>
      </c>
      <c r="K48" s="18" t="s">
        <v>2554</v>
      </c>
    </row>
    <row r="49" spans="1:11" ht="84" customHeight="1">
      <c r="A49" s="17" t="s">
        <v>2774</v>
      </c>
      <c r="B49" s="18" t="s">
        <v>2663</v>
      </c>
      <c r="C49" s="18" t="s">
        <v>2775</v>
      </c>
      <c r="D49" s="19" t="s">
        <v>44</v>
      </c>
      <c r="E49" s="17" t="s">
        <v>45</v>
      </c>
      <c r="F49" s="18" t="s">
        <v>2776</v>
      </c>
      <c r="G49" s="18" t="s">
        <v>2777</v>
      </c>
      <c r="H49" s="18" t="s">
        <v>2724</v>
      </c>
      <c r="I49" s="18"/>
      <c r="J49" s="16" t="s">
        <v>51</v>
      </c>
      <c r="K49" s="18" t="s">
        <v>2554</v>
      </c>
    </row>
    <row r="50" spans="1:11" ht="84" customHeight="1">
      <c r="A50" s="17" t="s">
        <v>2778</v>
      </c>
      <c r="B50" s="18" t="s">
        <v>2663</v>
      </c>
      <c r="C50" s="18" t="s">
        <v>2779</v>
      </c>
      <c r="D50" s="19" t="s">
        <v>44</v>
      </c>
      <c r="E50" s="17" t="s">
        <v>47</v>
      </c>
      <c r="F50" s="18" t="s">
        <v>2780</v>
      </c>
      <c r="G50" s="18" t="s">
        <v>2781</v>
      </c>
      <c r="H50" s="18" t="s">
        <v>2729</v>
      </c>
      <c r="I50" s="18"/>
      <c r="J50" s="16" t="s">
        <v>51</v>
      </c>
      <c r="K50" s="18" t="s">
        <v>2554</v>
      </c>
    </row>
    <row r="51" spans="1:11" ht="84" customHeight="1">
      <c r="A51" s="13" t="s">
        <v>2782</v>
      </c>
      <c r="B51" s="14" t="s">
        <v>2663</v>
      </c>
      <c r="C51" s="14" t="s">
        <v>2783</v>
      </c>
      <c r="D51" s="15" t="s">
        <v>43</v>
      </c>
      <c r="E51" s="13" t="s">
        <v>46</v>
      </c>
      <c r="F51" s="14" t="s">
        <v>2784</v>
      </c>
      <c r="G51" s="14" t="s">
        <v>2785</v>
      </c>
      <c r="H51" s="14" t="s">
        <v>2786</v>
      </c>
      <c r="I51" s="14"/>
      <c r="J51" s="16" t="s">
        <v>51</v>
      </c>
      <c r="K51" s="14" t="s">
        <v>2554</v>
      </c>
    </row>
    <row r="52" spans="1:11" ht="84" customHeight="1">
      <c r="A52" s="17" t="s">
        <v>2787</v>
      </c>
      <c r="B52" s="18" t="s">
        <v>2663</v>
      </c>
      <c r="C52" s="18" t="s">
        <v>2788</v>
      </c>
      <c r="D52" s="19" t="s">
        <v>44</v>
      </c>
      <c r="E52" s="17" t="s">
        <v>46</v>
      </c>
      <c r="F52" s="18" t="s">
        <v>2789</v>
      </c>
      <c r="G52" s="18" t="s">
        <v>2790</v>
      </c>
      <c r="H52" s="18" t="s">
        <v>2714</v>
      </c>
      <c r="I52" s="18"/>
      <c r="J52" s="16" t="s">
        <v>51</v>
      </c>
      <c r="K52" s="18" t="s">
        <v>2554</v>
      </c>
    </row>
    <row r="53" spans="1:11" ht="84" customHeight="1">
      <c r="A53" s="17" t="s">
        <v>2791</v>
      </c>
      <c r="B53" s="18" t="s">
        <v>2663</v>
      </c>
      <c r="C53" s="18" t="s">
        <v>699</v>
      </c>
      <c r="D53" s="19" t="s">
        <v>44</v>
      </c>
      <c r="E53" s="17" t="s">
        <v>46</v>
      </c>
      <c r="F53" s="18" t="s">
        <v>2792</v>
      </c>
      <c r="G53" s="18" t="s">
        <v>701</v>
      </c>
      <c r="H53" s="18" t="s">
        <v>2719</v>
      </c>
      <c r="I53" s="18"/>
      <c r="J53" s="16" t="s">
        <v>51</v>
      </c>
      <c r="K53" s="18" t="s">
        <v>2554</v>
      </c>
    </row>
    <row r="54" spans="1:11" ht="84" customHeight="1">
      <c r="A54" s="17" t="s">
        <v>2793</v>
      </c>
      <c r="B54" s="18" t="s">
        <v>2663</v>
      </c>
      <c r="C54" s="18" t="s">
        <v>2794</v>
      </c>
      <c r="D54" s="19" t="s">
        <v>44</v>
      </c>
      <c r="E54" s="17" t="s">
        <v>45</v>
      </c>
      <c r="F54" s="18" t="s">
        <v>2795</v>
      </c>
      <c r="G54" s="18" t="s">
        <v>2796</v>
      </c>
      <c r="H54" s="18" t="s">
        <v>2724</v>
      </c>
      <c r="I54" s="18"/>
      <c r="J54" s="16" t="s">
        <v>51</v>
      </c>
      <c r="K54" s="18" t="s">
        <v>2554</v>
      </c>
    </row>
    <row r="55" spans="1:11" ht="84" customHeight="1">
      <c r="A55" s="17" t="s">
        <v>2797</v>
      </c>
      <c r="B55" s="18" t="s">
        <v>2663</v>
      </c>
      <c r="C55" s="18" t="s">
        <v>2798</v>
      </c>
      <c r="D55" s="19" t="s">
        <v>44</v>
      </c>
      <c r="E55" s="17" t="s">
        <v>47</v>
      </c>
      <c r="F55" s="18" t="s">
        <v>2799</v>
      </c>
      <c r="G55" s="18" t="s">
        <v>2800</v>
      </c>
      <c r="H55" s="18" t="s">
        <v>2729</v>
      </c>
      <c r="I55" s="18"/>
      <c r="J55" s="16" t="s">
        <v>51</v>
      </c>
      <c r="K55" s="18" t="s">
        <v>2554</v>
      </c>
    </row>
    <row r="56" spans="1:11" ht="84" customHeight="1">
      <c r="A56" s="13" t="s">
        <v>2801</v>
      </c>
      <c r="B56" s="14" t="s">
        <v>2663</v>
      </c>
      <c r="C56" s="14" t="s">
        <v>2802</v>
      </c>
      <c r="D56" s="15" t="s">
        <v>43</v>
      </c>
      <c r="E56" s="13" t="s">
        <v>46</v>
      </c>
      <c r="F56" s="14" t="s">
        <v>2803</v>
      </c>
      <c r="G56" s="14" t="s">
        <v>705</v>
      </c>
      <c r="H56" s="14" t="s">
        <v>2804</v>
      </c>
      <c r="I56" s="14"/>
      <c r="J56" s="16" t="s">
        <v>51</v>
      </c>
      <c r="K56" s="14" t="s">
        <v>2554</v>
      </c>
    </row>
    <row r="57" spans="1:11" ht="84" customHeight="1">
      <c r="A57" s="17" t="s">
        <v>2805</v>
      </c>
      <c r="B57" s="18" t="s">
        <v>2663</v>
      </c>
      <c r="C57" s="18" t="s">
        <v>2806</v>
      </c>
      <c r="D57" s="19" t="s">
        <v>44</v>
      </c>
      <c r="E57" s="17" t="s">
        <v>46</v>
      </c>
      <c r="F57" s="18" t="s">
        <v>2807</v>
      </c>
      <c r="G57" s="18" t="s">
        <v>710</v>
      </c>
      <c r="H57" s="18" t="s">
        <v>2808</v>
      </c>
      <c r="I57" s="18"/>
      <c r="J57" s="16" t="s">
        <v>51</v>
      </c>
      <c r="K57" s="18" t="s">
        <v>2554</v>
      </c>
    </row>
    <row r="58" spans="1:11" ht="84" customHeight="1">
      <c r="A58" s="17" t="s">
        <v>2809</v>
      </c>
      <c r="B58" s="18" t="s">
        <v>2663</v>
      </c>
      <c r="C58" s="18" t="s">
        <v>2810</v>
      </c>
      <c r="D58" s="19" t="s">
        <v>44</v>
      </c>
      <c r="E58" s="17" t="s">
        <v>46</v>
      </c>
      <c r="F58" s="18" t="s">
        <v>2811</v>
      </c>
      <c r="G58" s="18" t="s">
        <v>2812</v>
      </c>
      <c r="H58" s="18" t="s">
        <v>2714</v>
      </c>
      <c r="I58" s="18"/>
      <c r="J58" s="16" t="s">
        <v>51</v>
      </c>
      <c r="K58" s="18" t="s">
        <v>2554</v>
      </c>
    </row>
    <row r="59" spans="1:11" ht="84" customHeight="1">
      <c r="A59" s="17" t="s">
        <v>2813</v>
      </c>
      <c r="B59" s="18" t="s">
        <v>2663</v>
      </c>
      <c r="C59" s="18" t="s">
        <v>717</v>
      </c>
      <c r="D59" s="19" t="s">
        <v>44</v>
      </c>
      <c r="E59" s="17" t="s">
        <v>46</v>
      </c>
      <c r="F59" s="18" t="s">
        <v>2814</v>
      </c>
      <c r="G59" s="18" t="s">
        <v>719</v>
      </c>
      <c r="H59" s="18" t="s">
        <v>2719</v>
      </c>
      <c r="I59" s="18"/>
      <c r="J59" s="16" t="s">
        <v>51</v>
      </c>
      <c r="K59" s="18" t="s">
        <v>2554</v>
      </c>
    </row>
    <row r="60" spans="1:11" ht="84" customHeight="1">
      <c r="A60" s="17" t="s">
        <v>2815</v>
      </c>
      <c r="B60" s="18" t="s">
        <v>2663</v>
      </c>
      <c r="C60" s="18" t="s">
        <v>2816</v>
      </c>
      <c r="D60" s="19" t="s">
        <v>44</v>
      </c>
      <c r="E60" s="17" t="s">
        <v>45</v>
      </c>
      <c r="F60" s="18" t="s">
        <v>2817</v>
      </c>
      <c r="G60" s="18" t="s">
        <v>2818</v>
      </c>
      <c r="H60" s="18" t="s">
        <v>2724</v>
      </c>
      <c r="I60" s="18"/>
      <c r="J60" s="16" t="s">
        <v>51</v>
      </c>
      <c r="K60" s="18" t="s">
        <v>2554</v>
      </c>
    </row>
    <row r="61" spans="1:11" ht="84" customHeight="1">
      <c r="A61" s="17" t="s">
        <v>2819</v>
      </c>
      <c r="B61" s="18" t="s">
        <v>2663</v>
      </c>
      <c r="C61" s="18" t="s">
        <v>2820</v>
      </c>
      <c r="D61" s="19" t="s">
        <v>44</v>
      </c>
      <c r="E61" s="17" t="s">
        <v>47</v>
      </c>
      <c r="F61" s="18" t="s">
        <v>2821</v>
      </c>
      <c r="G61" s="18" t="s">
        <v>2822</v>
      </c>
      <c r="H61" s="18" t="s">
        <v>2729</v>
      </c>
      <c r="I61" s="18"/>
      <c r="J61" s="16" t="s">
        <v>51</v>
      </c>
      <c r="K61" s="18" t="s">
        <v>2554</v>
      </c>
    </row>
    <row r="62" spans="1:11" ht="84" customHeight="1">
      <c r="A62" s="13" t="s">
        <v>2823</v>
      </c>
      <c r="B62" s="14" t="s">
        <v>2663</v>
      </c>
      <c r="C62" s="14" t="s">
        <v>740</v>
      </c>
      <c r="D62" s="15" t="s">
        <v>43</v>
      </c>
      <c r="E62" s="13" t="s">
        <v>46</v>
      </c>
      <c r="F62" s="14" t="s">
        <v>2824</v>
      </c>
      <c r="G62" s="14" t="s">
        <v>742</v>
      </c>
      <c r="H62" s="14" t="s">
        <v>2825</v>
      </c>
      <c r="I62" s="14"/>
      <c r="J62" s="16" t="s">
        <v>51</v>
      </c>
      <c r="K62" s="14" t="s">
        <v>2554</v>
      </c>
    </row>
    <row r="63" spans="1:11" ht="84" customHeight="1">
      <c r="A63" s="17" t="s">
        <v>2826</v>
      </c>
      <c r="B63" s="18" t="s">
        <v>2663</v>
      </c>
      <c r="C63" s="18" t="s">
        <v>2827</v>
      </c>
      <c r="D63" s="19" t="s">
        <v>44</v>
      </c>
      <c r="E63" s="17" t="s">
        <v>46</v>
      </c>
      <c r="F63" s="18" t="s">
        <v>2828</v>
      </c>
      <c r="G63" s="18" t="s">
        <v>747</v>
      </c>
      <c r="H63" s="18" t="s">
        <v>2829</v>
      </c>
      <c r="I63" s="18"/>
      <c r="J63" s="16" t="s">
        <v>51</v>
      </c>
      <c r="K63" s="18" t="s">
        <v>2554</v>
      </c>
    </row>
    <row r="64" spans="1:11" ht="84" customHeight="1">
      <c r="A64" s="13" t="s">
        <v>2830</v>
      </c>
      <c r="B64" s="14" t="s">
        <v>2663</v>
      </c>
      <c r="C64" s="14" t="s">
        <v>2831</v>
      </c>
      <c r="D64" s="15" t="s">
        <v>43</v>
      </c>
      <c r="E64" s="13" t="s">
        <v>47</v>
      </c>
      <c r="F64" s="14" t="s">
        <v>2832</v>
      </c>
      <c r="G64" s="14" t="s">
        <v>752</v>
      </c>
      <c r="H64" s="14" t="s">
        <v>2833</v>
      </c>
      <c r="I64" s="14"/>
      <c r="J64" s="16" t="s">
        <v>51</v>
      </c>
      <c r="K64" s="14" t="s">
        <v>2554</v>
      </c>
    </row>
    <row r="65" spans="1:11" ht="84" customHeight="1">
      <c r="A65" s="13" t="s">
        <v>2834</v>
      </c>
      <c r="B65" s="14" t="s">
        <v>2663</v>
      </c>
      <c r="C65" s="14" t="s">
        <v>2835</v>
      </c>
      <c r="D65" s="15" t="s">
        <v>43</v>
      </c>
      <c r="E65" s="13" t="s">
        <v>46</v>
      </c>
      <c r="F65" s="14" t="s">
        <v>2836</v>
      </c>
      <c r="G65" s="14" t="s">
        <v>2837</v>
      </c>
      <c r="H65" s="14" t="s">
        <v>2825</v>
      </c>
      <c r="I65" s="14"/>
      <c r="J65" s="16" t="s">
        <v>51</v>
      </c>
      <c r="K65" s="14" t="s">
        <v>2554</v>
      </c>
    </row>
    <row r="66" spans="1:11" ht="84" customHeight="1">
      <c r="A66" s="17" t="s">
        <v>2838</v>
      </c>
      <c r="B66" s="18" t="s">
        <v>2663</v>
      </c>
      <c r="C66" s="18" t="s">
        <v>2839</v>
      </c>
      <c r="D66" s="19" t="s">
        <v>44</v>
      </c>
      <c r="E66" s="17" t="s">
        <v>46</v>
      </c>
      <c r="F66" s="18" t="s">
        <v>2840</v>
      </c>
      <c r="G66" s="18" t="s">
        <v>2841</v>
      </c>
      <c r="H66" s="18" t="s">
        <v>2842</v>
      </c>
      <c r="I66" s="18"/>
      <c r="J66" s="16" t="s">
        <v>51</v>
      </c>
      <c r="K66" s="18" t="s">
        <v>2554</v>
      </c>
    </row>
    <row r="67" spans="1:11" ht="84" customHeight="1">
      <c r="A67" s="13" t="s">
        <v>2843</v>
      </c>
      <c r="B67" s="14" t="s">
        <v>2663</v>
      </c>
      <c r="C67" s="14" t="s">
        <v>2844</v>
      </c>
      <c r="D67" s="15" t="s">
        <v>43</v>
      </c>
      <c r="E67" s="13" t="s">
        <v>47</v>
      </c>
      <c r="F67" s="14" t="s">
        <v>2845</v>
      </c>
      <c r="G67" s="14" t="s">
        <v>2846</v>
      </c>
      <c r="H67" s="14" t="s">
        <v>2833</v>
      </c>
      <c r="I67" s="14"/>
      <c r="J67" s="16" t="s">
        <v>51</v>
      </c>
      <c r="K67" s="14" t="s">
        <v>2554</v>
      </c>
    </row>
    <row r="68" spans="1:11" ht="84" customHeight="1">
      <c r="A68" s="13" t="s">
        <v>2847</v>
      </c>
      <c r="B68" s="14" t="s">
        <v>2663</v>
      </c>
      <c r="C68" s="14" t="s">
        <v>2848</v>
      </c>
      <c r="D68" s="15" t="s">
        <v>43</v>
      </c>
      <c r="E68" s="13" t="s">
        <v>45</v>
      </c>
      <c r="F68" s="14" t="s">
        <v>2849</v>
      </c>
      <c r="G68" s="14" t="s">
        <v>2850</v>
      </c>
      <c r="H68" s="14" t="s">
        <v>2851</v>
      </c>
      <c r="I68" s="14"/>
      <c r="J68" s="16" t="s">
        <v>51</v>
      </c>
      <c r="K68" s="14" t="s">
        <v>2554</v>
      </c>
    </row>
    <row r="69" spans="1:11" ht="84" customHeight="1">
      <c r="A69" s="17" t="s">
        <v>2852</v>
      </c>
      <c r="B69" s="18" t="s">
        <v>2663</v>
      </c>
      <c r="C69" s="18" t="s">
        <v>2853</v>
      </c>
      <c r="D69" s="19" t="s">
        <v>44</v>
      </c>
      <c r="E69" s="17" t="s">
        <v>45</v>
      </c>
      <c r="F69" s="18" t="s">
        <v>2854</v>
      </c>
      <c r="G69" s="18" t="s">
        <v>2855</v>
      </c>
      <c r="H69" s="18" t="s">
        <v>2856</v>
      </c>
      <c r="I69" s="18"/>
      <c r="J69" s="16" t="s">
        <v>51</v>
      </c>
      <c r="K69" s="18" t="s">
        <v>2554</v>
      </c>
    </row>
    <row r="70" spans="1:11" ht="84" customHeight="1">
      <c r="A70" s="17" t="s">
        <v>2857</v>
      </c>
      <c r="B70" s="18" t="s">
        <v>2663</v>
      </c>
      <c r="C70" s="18" t="s">
        <v>2858</v>
      </c>
      <c r="D70" s="19" t="s">
        <v>44</v>
      </c>
      <c r="E70" s="17" t="s">
        <v>45</v>
      </c>
      <c r="F70" s="18" t="s">
        <v>2859</v>
      </c>
      <c r="G70" s="18" t="s">
        <v>2860</v>
      </c>
      <c r="H70" s="18" t="s">
        <v>2861</v>
      </c>
      <c r="I70" s="18"/>
      <c r="J70" s="16" t="s">
        <v>51</v>
      </c>
      <c r="K70" s="18" t="s">
        <v>2554</v>
      </c>
    </row>
    <row r="71" spans="1:11" ht="84" customHeight="1">
      <c r="A71" s="17" t="s">
        <v>2862</v>
      </c>
      <c r="B71" s="18" t="s">
        <v>2663</v>
      </c>
      <c r="C71" s="18" t="s">
        <v>2863</v>
      </c>
      <c r="D71" s="19" t="s">
        <v>44</v>
      </c>
      <c r="E71" s="17" t="s">
        <v>45</v>
      </c>
      <c r="F71" s="18" t="s">
        <v>2864</v>
      </c>
      <c r="G71" s="18" t="s">
        <v>2865</v>
      </c>
      <c r="H71" s="18" t="s">
        <v>2866</v>
      </c>
      <c r="I71" s="18"/>
      <c r="J71" s="16" t="s">
        <v>51</v>
      </c>
      <c r="K71" s="18" t="s">
        <v>2554</v>
      </c>
    </row>
    <row r="72" spans="1:11" ht="84" customHeight="1">
      <c r="A72" s="17" t="s">
        <v>2867</v>
      </c>
      <c r="B72" s="18" t="s">
        <v>2663</v>
      </c>
      <c r="C72" s="18" t="s">
        <v>2868</v>
      </c>
      <c r="D72" s="19" t="s">
        <v>44</v>
      </c>
      <c r="E72" s="17" t="s">
        <v>46</v>
      </c>
      <c r="F72" s="18" t="s">
        <v>2869</v>
      </c>
      <c r="G72" s="18" t="s">
        <v>2870</v>
      </c>
      <c r="H72" s="18" t="s">
        <v>2871</v>
      </c>
      <c r="I72" s="18"/>
      <c r="J72" s="16" t="s">
        <v>51</v>
      </c>
      <c r="K72" s="18" t="s">
        <v>2554</v>
      </c>
    </row>
    <row r="73" spans="1:11" ht="84" customHeight="1">
      <c r="A73" s="17" t="s">
        <v>2872</v>
      </c>
      <c r="B73" s="18" t="s">
        <v>2663</v>
      </c>
      <c r="C73" s="18" t="s">
        <v>2873</v>
      </c>
      <c r="D73" s="19" t="s">
        <v>44</v>
      </c>
      <c r="E73" s="17" t="s">
        <v>47</v>
      </c>
      <c r="F73" s="18" t="s">
        <v>2874</v>
      </c>
      <c r="G73" s="18" t="s">
        <v>2875</v>
      </c>
      <c r="H73" s="18" t="s">
        <v>2876</v>
      </c>
      <c r="I73" s="18"/>
      <c r="J73" s="16" t="s">
        <v>51</v>
      </c>
      <c r="K73" s="18" t="s">
        <v>2554</v>
      </c>
    </row>
    <row r="74" spans="1:11" ht="84" customHeight="1">
      <c r="A74" s="13" t="s">
        <v>2877</v>
      </c>
      <c r="B74" s="14" t="s">
        <v>2663</v>
      </c>
      <c r="C74" s="14" t="s">
        <v>2878</v>
      </c>
      <c r="D74" s="15" t="s">
        <v>43</v>
      </c>
      <c r="E74" s="13" t="s">
        <v>46</v>
      </c>
      <c r="F74" s="14" t="s">
        <v>2879</v>
      </c>
      <c r="G74" s="14" t="s">
        <v>2880</v>
      </c>
      <c r="H74" s="14" t="s">
        <v>2881</v>
      </c>
      <c r="I74" s="14"/>
      <c r="J74" s="16" t="s">
        <v>51</v>
      </c>
      <c r="K74" s="14" t="s">
        <v>2554</v>
      </c>
    </row>
    <row r="75" spans="1:11" ht="84" customHeight="1">
      <c r="A75" s="17" t="s">
        <v>2882</v>
      </c>
      <c r="B75" s="18" t="s">
        <v>2663</v>
      </c>
      <c r="C75" s="18" t="s">
        <v>2883</v>
      </c>
      <c r="D75" s="19" t="s">
        <v>44</v>
      </c>
      <c r="E75" s="17" t="s">
        <v>46</v>
      </c>
      <c r="F75" s="18" t="s">
        <v>2884</v>
      </c>
      <c r="G75" s="18" t="s">
        <v>2885</v>
      </c>
      <c r="H75" s="18" t="s">
        <v>2886</v>
      </c>
      <c r="I75" s="18"/>
      <c r="J75" s="16" t="s">
        <v>51</v>
      </c>
      <c r="K75" s="18" t="s">
        <v>2554</v>
      </c>
    </row>
    <row r="76" spans="1:11" ht="84" customHeight="1">
      <c r="A76" s="17" t="s">
        <v>2887</v>
      </c>
      <c r="B76" s="18" t="s">
        <v>2663</v>
      </c>
      <c r="C76" s="18" t="s">
        <v>2888</v>
      </c>
      <c r="D76" s="19" t="s">
        <v>44</v>
      </c>
      <c r="E76" s="17" t="s">
        <v>46</v>
      </c>
      <c r="F76" s="18" t="s">
        <v>2889</v>
      </c>
      <c r="G76" s="18" t="s">
        <v>2890</v>
      </c>
      <c r="H76" s="18" t="s">
        <v>2891</v>
      </c>
      <c r="I76" s="18"/>
      <c r="J76" s="16" t="s">
        <v>51</v>
      </c>
      <c r="K76" s="18" t="s">
        <v>2554</v>
      </c>
    </row>
    <row r="77" spans="1:11" ht="84" customHeight="1">
      <c r="A77" s="17" t="s">
        <v>2892</v>
      </c>
      <c r="B77" s="18" t="s">
        <v>2663</v>
      </c>
      <c r="C77" s="18" t="s">
        <v>2893</v>
      </c>
      <c r="D77" s="19" t="s">
        <v>44</v>
      </c>
      <c r="E77" s="17" t="s">
        <v>46</v>
      </c>
      <c r="F77" s="18" t="s">
        <v>2894</v>
      </c>
      <c r="G77" s="18" t="s">
        <v>2895</v>
      </c>
      <c r="H77" s="18" t="s">
        <v>2896</v>
      </c>
      <c r="I77" s="18"/>
      <c r="J77" s="16" t="s">
        <v>51</v>
      </c>
      <c r="K77" s="18" t="s">
        <v>2554</v>
      </c>
    </row>
    <row r="78" spans="1:11" ht="84" customHeight="1">
      <c r="A78" s="17" t="s">
        <v>2897</v>
      </c>
      <c r="B78" s="18" t="s">
        <v>2663</v>
      </c>
      <c r="C78" s="18" t="s">
        <v>2898</v>
      </c>
      <c r="D78" s="19" t="s">
        <v>44</v>
      </c>
      <c r="E78" s="17" t="s">
        <v>47</v>
      </c>
      <c r="F78" s="18" t="s">
        <v>2899</v>
      </c>
      <c r="G78" s="18" t="s">
        <v>2900</v>
      </c>
      <c r="H78" s="18" t="s">
        <v>2901</v>
      </c>
      <c r="I78" s="18"/>
      <c r="J78" s="16" t="s">
        <v>51</v>
      </c>
      <c r="K78" s="18" t="s">
        <v>2554</v>
      </c>
    </row>
    <row r="79" spans="1:11" ht="97.5" customHeight="1">
      <c r="A79" s="13" t="s">
        <v>2902</v>
      </c>
      <c r="B79" s="14" t="s">
        <v>2663</v>
      </c>
      <c r="C79" s="14" t="s">
        <v>2903</v>
      </c>
      <c r="D79" s="15" t="s">
        <v>43</v>
      </c>
      <c r="E79" s="13" t="s">
        <v>46</v>
      </c>
      <c r="F79" s="14" t="s">
        <v>2904</v>
      </c>
      <c r="G79" s="14" t="s">
        <v>109</v>
      </c>
      <c r="H79" s="14" t="s">
        <v>2905</v>
      </c>
      <c r="I79" s="14"/>
      <c r="J79" s="16" t="s">
        <v>51</v>
      </c>
      <c r="K79" s="14" t="s">
        <v>2906</v>
      </c>
    </row>
    <row r="80" spans="1:11" ht="84" customHeight="1">
      <c r="A80" s="13" t="s">
        <v>2907</v>
      </c>
      <c r="B80" s="14" t="s">
        <v>2908</v>
      </c>
      <c r="C80" s="14" t="s">
        <v>2909</v>
      </c>
      <c r="D80" s="15" t="s">
        <v>43</v>
      </c>
      <c r="E80" s="13" t="s">
        <v>45</v>
      </c>
      <c r="F80" s="14" t="s">
        <v>2910</v>
      </c>
      <c r="G80" s="14" t="s">
        <v>2911</v>
      </c>
      <c r="H80" s="14" t="s">
        <v>2912</v>
      </c>
      <c r="I80" s="14"/>
      <c r="J80" s="16" t="s">
        <v>51</v>
      </c>
      <c r="K80" s="14" t="s">
        <v>2554</v>
      </c>
    </row>
    <row r="81" spans="1:11" ht="84" customHeight="1">
      <c r="A81" s="17" t="s">
        <v>2913</v>
      </c>
      <c r="B81" s="18" t="s">
        <v>2908</v>
      </c>
      <c r="C81" s="18" t="s">
        <v>2914</v>
      </c>
      <c r="D81" s="19" t="s">
        <v>44</v>
      </c>
      <c r="E81" s="17" t="s">
        <v>45</v>
      </c>
      <c r="F81" s="18" t="s">
        <v>2915</v>
      </c>
      <c r="G81" s="18" t="s">
        <v>2916</v>
      </c>
      <c r="H81" s="18" t="s">
        <v>2917</v>
      </c>
      <c r="I81" s="18"/>
      <c r="J81" s="16" t="s">
        <v>51</v>
      </c>
      <c r="K81" s="18" t="s">
        <v>2554</v>
      </c>
    </row>
    <row r="82" spans="1:11" ht="42" customHeight="1">
      <c r="A82" s="17" t="s">
        <v>2918</v>
      </c>
      <c r="B82" s="18" t="s">
        <v>2908</v>
      </c>
      <c r="C82" s="18" t="s">
        <v>2919</v>
      </c>
      <c r="D82" s="19" t="s">
        <v>44</v>
      </c>
      <c r="E82" s="17" t="s">
        <v>46</v>
      </c>
      <c r="F82" s="18" t="s">
        <v>2920</v>
      </c>
      <c r="G82" s="18" t="s">
        <v>2921</v>
      </c>
      <c r="H82" s="18" t="s">
        <v>2922</v>
      </c>
      <c r="I82" s="18"/>
      <c r="J82" s="16" t="s">
        <v>51</v>
      </c>
      <c r="K82" s="18"/>
    </row>
    <row r="83" spans="1:11" ht="55.5" customHeight="1">
      <c r="A83" s="13" t="s">
        <v>2923</v>
      </c>
      <c r="B83" s="14" t="s">
        <v>2908</v>
      </c>
      <c r="C83" s="14" t="s">
        <v>2924</v>
      </c>
      <c r="D83" s="15" t="s">
        <v>43</v>
      </c>
      <c r="E83" s="13" t="s">
        <v>45</v>
      </c>
      <c r="F83" s="14" t="s">
        <v>2925</v>
      </c>
      <c r="G83" s="14" t="s">
        <v>2926</v>
      </c>
      <c r="H83" s="14" t="s">
        <v>2927</v>
      </c>
      <c r="I83" s="14"/>
      <c r="J83" s="16" t="s">
        <v>51</v>
      </c>
      <c r="K83" s="14"/>
    </row>
    <row r="84" spans="1:11" ht="55.5" customHeight="1">
      <c r="A84" s="17" t="s">
        <v>2928</v>
      </c>
      <c r="B84" s="18" t="s">
        <v>2908</v>
      </c>
      <c r="C84" s="18" t="s">
        <v>2929</v>
      </c>
      <c r="D84" s="19" t="s">
        <v>44</v>
      </c>
      <c r="E84" s="17" t="s">
        <v>46</v>
      </c>
      <c r="F84" s="18" t="s">
        <v>2930</v>
      </c>
      <c r="G84" s="18" t="s">
        <v>2931</v>
      </c>
      <c r="H84" s="18" t="s">
        <v>2932</v>
      </c>
      <c r="I84" s="18"/>
      <c r="J84" s="16" t="s">
        <v>51</v>
      </c>
      <c r="K84" s="18"/>
    </row>
    <row r="85" spans="1:11" ht="69.75" customHeight="1">
      <c r="A85" s="17" t="s">
        <v>2933</v>
      </c>
      <c r="B85" s="18" t="s">
        <v>2908</v>
      </c>
      <c r="C85" s="18" t="s">
        <v>2934</v>
      </c>
      <c r="D85" s="19" t="s">
        <v>44</v>
      </c>
      <c r="E85" s="17" t="s">
        <v>45</v>
      </c>
      <c r="F85" s="18" t="s">
        <v>2935</v>
      </c>
      <c r="G85" s="18" t="s">
        <v>2936</v>
      </c>
      <c r="H85" s="18" t="s">
        <v>2937</v>
      </c>
      <c r="I85" s="18"/>
      <c r="J85" s="16" t="s">
        <v>51</v>
      </c>
      <c r="K85" s="18"/>
    </row>
    <row r="86" spans="1:11" ht="84" customHeight="1">
      <c r="A86" s="13" t="s">
        <v>2938</v>
      </c>
      <c r="B86" s="14" t="s">
        <v>2908</v>
      </c>
      <c r="C86" s="14" t="s">
        <v>2939</v>
      </c>
      <c r="D86" s="15" t="s">
        <v>43</v>
      </c>
      <c r="E86" s="13" t="s">
        <v>45</v>
      </c>
      <c r="F86" s="14" t="s">
        <v>2940</v>
      </c>
      <c r="G86" s="14" t="s">
        <v>2941</v>
      </c>
      <c r="H86" s="14" t="s">
        <v>2942</v>
      </c>
      <c r="I86" s="14"/>
      <c r="J86" s="16" t="s">
        <v>51</v>
      </c>
      <c r="K86" s="14" t="s">
        <v>2554</v>
      </c>
    </row>
    <row r="87" spans="1:11" ht="69.75" customHeight="1">
      <c r="A87" s="17" t="s">
        <v>2943</v>
      </c>
      <c r="B87" s="18" t="s">
        <v>2908</v>
      </c>
      <c r="C87" s="18" t="s">
        <v>2944</v>
      </c>
      <c r="D87" s="19" t="s">
        <v>44</v>
      </c>
      <c r="E87" s="17" t="s">
        <v>46</v>
      </c>
      <c r="F87" s="18" t="s">
        <v>2945</v>
      </c>
      <c r="G87" s="18" t="s">
        <v>2946</v>
      </c>
      <c r="H87" s="18" t="s">
        <v>2947</v>
      </c>
      <c r="I87" s="18"/>
      <c r="J87" s="16" t="s">
        <v>51</v>
      </c>
      <c r="K87" s="18" t="s">
        <v>2948</v>
      </c>
    </row>
    <row r="88" spans="1:11" ht="84" customHeight="1">
      <c r="A88" s="13" t="s">
        <v>2949</v>
      </c>
      <c r="B88" s="14" t="s">
        <v>2908</v>
      </c>
      <c r="C88" s="14" t="s">
        <v>2950</v>
      </c>
      <c r="D88" s="15" t="s">
        <v>43</v>
      </c>
      <c r="E88" s="13" t="s">
        <v>46</v>
      </c>
      <c r="F88" s="14" t="s">
        <v>2951</v>
      </c>
      <c r="G88" s="14" t="s">
        <v>2952</v>
      </c>
      <c r="H88" s="14" t="s">
        <v>2953</v>
      </c>
      <c r="I88" s="14"/>
      <c r="J88" s="16" t="s">
        <v>51</v>
      </c>
      <c r="K88" s="14" t="s">
        <v>2554</v>
      </c>
    </row>
    <row r="89" spans="1:11" ht="55.5" customHeight="1">
      <c r="A89" s="17" t="s">
        <v>2954</v>
      </c>
      <c r="B89" s="18" t="s">
        <v>2908</v>
      </c>
      <c r="C89" s="18" t="s">
        <v>2955</v>
      </c>
      <c r="D89" s="19" t="s">
        <v>44</v>
      </c>
      <c r="E89" s="17" t="s">
        <v>46</v>
      </c>
      <c r="F89" s="18" t="s">
        <v>2956</v>
      </c>
      <c r="G89" s="18" t="s">
        <v>2946</v>
      </c>
      <c r="H89" s="18" t="s">
        <v>2957</v>
      </c>
      <c r="I89" s="18"/>
      <c r="J89" s="16" t="s">
        <v>51</v>
      </c>
      <c r="K89" s="18" t="s">
        <v>2958</v>
      </c>
    </row>
    <row r="90" spans="1:11" ht="97.5" customHeight="1">
      <c r="A90" s="13" t="s">
        <v>2959</v>
      </c>
      <c r="B90" s="14" t="s">
        <v>2960</v>
      </c>
      <c r="C90" s="14" t="s">
        <v>2961</v>
      </c>
      <c r="D90" s="15" t="s">
        <v>43</v>
      </c>
      <c r="E90" s="13" t="s">
        <v>45</v>
      </c>
      <c r="F90" s="14" t="s">
        <v>2962</v>
      </c>
      <c r="G90" s="14" t="s">
        <v>2963</v>
      </c>
      <c r="H90" s="14" t="s">
        <v>2964</v>
      </c>
      <c r="I90" s="14"/>
      <c r="J90" s="16" t="s">
        <v>51</v>
      </c>
      <c r="K90" s="14" t="s">
        <v>2554</v>
      </c>
    </row>
    <row r="91" spans="1:11" ht="84" customHeight="1">
      <c r="A91" s="13" t="s">
        <v>2965</v>
      </c>
      <c r="B91" s="14" t="s">
        <v>2960</v>
      </c>
      <c r="C91" s="14" t="s">
        <v>2966</v>
      </c>
      <c r="D91" s="15" t="s">
        <v>43</v>
      </c>
      <c r="E91" s="13" t="s">
        <v>45</v>
      </c>
      <c r="F91" s="14" t="s">
        <v>2967</v>
      </c>
      <c r="G91" s="14" t="s">
        <v>2968</v>
      </c>
      <c r="H91" s="14" t="s">
        <v>2969</v>
      </c>
      <c r="I91" s="14"/>
      <c r="J91" s="16" t="s">
        <v>51</v>
      </c>
      <c r="K91" s="14" t="s">
        <v>2554</v>
      </c>
    </row>
    <row r="92" spans="1:11" ht="84" customHeight="1">
      <c r="A92" s="13" t="s">
        <v>2970</v>
      </c>
      <c r="B92" s="14" t="s">
        <v>2960</v>
      </c>
      <c r="C92" s="14" t="s">
        <v>2971</v>
      </c>
      <c r="D92" s="15" t="s">
        <v>43</v>
      </c>
      <c r="E92" s="13" t="s">
        <v>45</v>
      </c>
      <c r="F92" s="14" t="s">
        <v>2972</v>
      </c>
      <c r="G92" s="14" t="s">
        <v>2973</v>
      </c>
      <c r="H92" s="14" t="s">
        <v>2974</v>
      </c>
      <c r="I92" s="14"/>
      <c r="J92" s="16" t="s">
        <v>51</v>
      </c>
      <c r="K92" s="14" t="s">
        <v>2554</v>
      </c>
    </row>
    <row r="93" spans="1:11" ht="84" customHeight="1">
      <c r="A93" s="13" t="s">
        <v>2975</v>
      </c>
      <c r="B93" s="14" t="s">
        <v>2960</v>
      </c>
      <c r="C93" s="14" t="s">
        <v>2976</v>
      </c>
      <c r="D93" s="15" t="s">
        <v>43</v>
      </c>
      <c r="E93" s="13" t="s">
        <v>46</v>
      </c>
      <c r="F93" s="14" t="s">
        <v>2977</v>
      </c>
      <c r="G93" s="14" t="s">
        <v>109</v>
      </c>
      <c r="H93" s="14" t="s">
        <v>2978</v>
      </c>
      <c r="I93" s="14"/>
      <c r="J93" s="16" t="s">
        <v>51</v>
      </c>
      <c r="K93" s="14" t="s">
        <v>2554</v>
      </c>
    </row>
    <row r="94" spans="1:11" ht="84" customHeight="1">
      <c r="A94" s="13" t="s">
        <v>2979</v>
      </c>
      <c r="B94" s="14" t="s">
        <v>2960</v>
      </c>
      <c r="C94" s="14" t="s">
        <v>2980</v>
      </c>
      <c r="D94" s="15" t="s">
        <v>43</v>
      </c>
      <c r="E94" s="13" t="s">
        <v>46</v>
      </c>
      <c r="F94" s="14" t="s">
        <v>2981</v>
      </c>
      <c r="G94" s="14" t="s">
        <v>109</v>
      </c>
      <c r="H94" s="14" t="s">
        <v>2982</v>
      </c>
      <c r="I94" s="14"/>
      <c r="J94" s="16" t="s">
        <v>51</v>
      </c>
      <c r="K94" s="14" t="s">
        <v>2554</v>
      </c>
    </row>
    <row r="95" spans="1:11" ht="42" customHeight="1">
      <c r="A95" s="17" t="s">
        <v>2983</v>
      </c>
      <c r="B95" s="18" t="s">
        <v>2984</v>
      </c>
      <c r="C95" s="18" t="s">
        <v>2985</v>
      </c>
      <c r="D95" s="19" t="s">
        <v>44</v>
      </c>
      <c r="E95" s="17" t="s">
        <v>45</v>
      </c>
      <c r="F95" s="18" t="s">
        <v>2986</v>
      </c>
      <c r="G95" s="18" t="s">
        <v>2987</v>
      </c>
      <c r="H95" s="18" t="s">
        <v>2988</v>
      </c>
      <c r="I95" s="18"/>
      <c r="J95" s="16" t="s">
        <v>51</v>
      </c>
      <c r="K95" s="18"/>
    </row>
    <row r="96" spans="1:11" ht="42" customHeight="1">
      <c r="A96" s="13" t="s">
        <v>2989</v>
      </c>
      <c r="B96" s="14" t="s">
        <v>2984</v>
      </c>
      <c r="C96" s="14" t="s">
        <v>2990</v>
      </c>
      <c r="D96" s="15" t="s">
        <v>43</v>
      </c>
      <c r="E96" s="13" t="s">
        <v>45</v>
      </c>
      <c r="F96" s="14" t="s">
        <v>2991</v>
      </c>
      <c r="G96" s="14" t="s">
        <v>2992</v>
      </c>
      <c r="H96" s="14" t="s">
        <v>2993</v>
      </c>
      <c r="I96" s="14"/>
      <c r="J96" s="16" t="s">
        <v>51</v>
      </c>
      <c r="K96" s="14"/>
    </row>
    <row r="97" spans="1:11" ht="42" customHeight="1">
      <c r="A97" s="17" t="s">
        <v>2994</v>
      </c>
      <c r="B97" s="18" t="s">
        <v>2984</v>
      </c>
      <c r="C97" s="18" t="s">
        <v>2995</v>
      </c>
      <c r="D97" s="19" t="s">
        <v>44</v>
      </c>
      <c r="E97" s="17" t="s">
        <v>45</v>
      </c>
      <c r="F97" s="18" t="s">
        <v>2996</v>
      </c>
      <c r="G97" s="18" t="s">
        <v>2997</v>
      </c>
      <c r="H97" s="18" t="s">
        <v>2998</v>
      </c>
      <c r="I97" s="18"/>
      <c r="J97" s="16" t="s">
        <v>51</v>
      </c>
      <c r="K97" s="18"/>
    </row>
    <row r="98" spans="1:11" ht="55.5" customHeight="1">
      <c r="A98" s="17" t="s">
        <v>2999</v>
      </c>
      <c r="B98" s="18" t="s">
        <v>2984</v>
      </c>
      <c r="C98" s="18" t="s">
        <v>3000</v>
      </c>
      <c r="D98" s="19" t="s">
        <v>44</v>
      </c>
      <c r="E98" s="17" t="s">
        <v>45</v>
      </c>
      <c r="F98" s="18" t="s">
        <v>3001</v>
      </c>
      <c r="G98" s="18" t="s">
        <v>3002</v>
      </c>
      <c r="H98" s="18" t="s">
        <v>3003</v>
      </c>
      <c r="I98" s="18"/>
      <c r="J98" s="16" t="s">
        <v>51</v>
      </c>
      <c r="K98" s="18" t="s">
        <v>3004</v>
      </c>
    </row>
    <row r="99" spans="1:11" ht="42" customHeight="1">
      <c r="A99" s="13" t="s">
        <v>3005</v>
      </c>
      <c r="B99" s="14" t="s">
        <v>2984</v>
      </c>
      <c r="C99" s="14" t="s">
        <v>3006</v>
      </c>
      <c r="D99" s="15" t="s">
        <v>43</v>
      </c>
      <c r="E99" s="13" t="s">
        <v>46</v>
      </c>
      <c r="F99" s="14" t="s">
        <v>3007</v>
      </c>
      <c r="G99" s="14" t="s">
        <v>109</v>
      </c>
      <c r="H99" s="14" t="s">
        <v>3008</v>
      </c>
      <c r="I99" s="14"/>
      <c r="J99" s="16" t="s">
        <v>51</v>
      </c>
      <c r="K99" s="14"/>
    </row>
    <row r="100" spans="1:11" ht="84" customHeight="1">
      <c r="A100" s="13" t="s">
        <v>3009</v>
      </c>
      <c r="B100" s="14" t="s">
        <v>3010</v>
      </c>
      <c r="C100" s="14" t="s">
        <v>3011</v>
      </c>
      <c r="D100" s="15" t="s">
        <v>43</v>
      </c>
      <c r="E100" s="13" t="s">
        <v>47</v>
      </c>
      <c r="F100" s="14" t="s">
        <v>3012</v>
      </c>
      <c r="G100" s="14" t="s">
        <v>109</v>
      </c>
      <c r="H100" s="14" t="s">
        <v>3013</v>
      </c>
      <c r="I100" s="14"/>
      <c r="J100" s="16" t="s">
        <v>51</v>
      </c>
      <c r="K100" s="14" t="s">
        <v>2554</v>
      </c>
    </row>
    <row r="101" spans="1:11" ht="84" customHeight="1">
      <c r="A101" s="13" t="s">
        <v>3014</v>
      </c>
      <c r="B101" s="14" t="s">
        <v>3010</v>
      </c>
      <c r="C101" s="14" t="s">
        <v>3015</v>
      </c>
      <c r="D101" s="15" t="s">
        <v>43</v>
      </c>
      <c r="E101" s="13" t="s">
        <v>46</v>
      </c>
      <c r="F101" s="14" t="s">
        <v>3016</v>
      </c>
      <c r="G101" s="14" t="s">
        <v>109</v>
      </c>
      <c r="H101" s="14" t="s">
        <v>3017</v>
      </c>
      <c r="I101" s="14"/>
      <c r="J101" s="16" t="s">
        <v>51</v>
      </c>
      <c r="K101" s="14" t="s">
        <v>2554</v>
      </c>
    </row>
    <row r="102" spans="1:11" ht="84" customHeight="1">
      <c r="A102" s="13" t="s">
        <v>3018</v>
      </c>
      <c r="B102" s="14" t="s">
        <v>3010</v>
      </c>
      <c r="C102" s="14" t="s">
        <v>3019</v>
      </c>
      <c r="D102" s="15" t="s">
        <v>43</v>
      </c>
      <c r="E102" s="13" t="s">
        <v>47</v>
      </c>
      <c r="F102" s="14" t="s">
        <v>3020</v>
      </c>
      <c r="G102" s="14" t="s">
        <v>109</v>
      </c>
      <c r="H102" s="14" t="s">
        <v>3021</v>
      </c>
      <c r="I102" s="14"/>
      <c r="J102" s="16" t="s">
        <v>51</v>
      </c>
      <c r="K102" s="14" t="s">
        <v>2554</v>
      </c>
    </row>
    <row r="103" spans="1:11" ht="84" customHeight="1">
      <c r="A103" s="13" t="s">
        <v>3022</v>
      </c>
      <c r="B103" s="14" t="s">
        <v>3010</v>
      </c>
      <c r="C103" s="14" t="s">
        <v>3023</v>
      </c>
      <c r="D103" s="15" t="s">
        <v>43</v>
      </c>
      <c r="E103" s="13" t="s">
        <v>46</v>
      </c>
      <c r="F103" s="14" t="s">
        <v>3024</v>
      </c>
      <c r="G103" s="14" t="s">
        <v>3025</v>
      </c>
      <c r="H103" s="14" t="s">
        <v>3026</v>
      </c>
      <c r="I103" s="14"/>
      <c r="J103" s="16" t="s">
        <v>51</v>
      </c>
      <c r="K103" s="14" t="s">
        <v>2554</v>
      </c>
    </row>
    <row r="104" spans="1:11" ht="42" customHeight="1">
      <c r="A104" s="13" t="s">
        <v>3027</v>
      </c>
      <c r="B104" s="14" t="s">
        <v>3010</v>
      </c>
      <c r="C104" s="14" t="s">
        <v>3028</v>
      </c>
      <c r="D104" s="15" t="s">
        <v>43</v>
      </c>
      <c r="E104" s="13" t="s">
        <v>47</v>
      </c>
      <c r="F104" s="14" t="s">
        <v>3029</v>
      </c>
      <c r="G104" s="14" t="s">
        <v>3030</v>
      </c>
      <c r="H104" s="14" t="s">
        <v>3031</v>
      </c>
      <c r="I104" s="14"/>
      <c r="J104" s="16" t="s">
        <v>51</v>
      </c>
      <c r="K104" s="14"/>
    </row>
    <row r="105" spans="1:11" ht="42" customHeight="1">
      <c r="A105" s="17" t="s">
        <v>3032</v>
      </c>
      <c r="B105" s="18" t="s">
        <v>3033</v>
      </c>
      <c r="C105" s="18" t="s">
        <v>3034</v>
      </c>
      <c r="D105" s="19" t="s">
        <v>44</v>
      </c>
      <c r="E105" s="17" t="s">
        <v>45</v>
      </c>
      <c r="F105" s="18" t="s">
        <v>3035</v>
      </c>
      <c r="G105" s="18" t="s">
        <v>3036</v>
      </c>
      <c r="H105" s="18" t="s">
        <v>3037</v>
      </c>
      <c r="I105" s="18"/>
      <c r="J105" s="16" t="s">
        <v>51</v>
      </c>
      <c r="K105" s="18"/>
    </row>
    <row r="106" spans="1:11" ht="42" customHeight="1">
      <c r="A106" s="17" t="s">
        <v>3038</v>
      </c>
      <c r="B106" s="18" t="s">
        <v>3033</v>
      </c>
      <c r="C106" s="18" t="s">
        <v>3039</v>
      </c>
      <c r="D106" s="19" t="s">
        <v>44</v>
      </c>
      <c r="E106" s="17" t="s">
        <v>45</v>
      </c>
      <c r="F106" s="18" t="s">
        <v>3040</v>
      </c>
      <c r="G106" s="18" t="s">
        <v>3041</v>
      </c>
      <c r="H106" s="18" t="s">
        <v>3042</v>
      </c>
      <c r="I106" s="18"/>
      <c r="J106" s="16" t="s">
        <v>51</v>
      </c>
      <c r="K106" s="18"/>
    </row>
    <row r="107" spans="1:11" ht="42" customHeight="1">
      <c r="A107" s="17" t="s">
        <v>3043</v>
      </c>
      <c r="B107" s="18" t="s">
        <v>3033</v>
      </c>
      <c r="C107" s="18" t="s">
        <v>3044</v>
      </c>
      <c r="D107" s="19" t="s">
        <v>44</v>
      </c>
      <c r="E107" s="17" t="s">
        <v>45</v>
      </c>
      <c r="F107" s="18" t="s">
        <v>3045</v>
      </c>
      <c r="G107" s="18" t="s">
        <v>3046</v>
      </c>
      <c r="H107" s="18" t="s">
        <v>3047</v>
      </c>
      <c r="I107" s="18"/>
      <c r="J107" s="16" t="s">
        <v>51</v>
      </c>
      <c r="K107" s="18"/>
    </row>
    <row r="108" spans="1:11" ht="42" customHeight="1">
      <c r="A108" s="17" t="s">
        <v>3048</v>
      </c>
      <c r="B108" s="18" t="s">
        <v>3033</v>
      </c>
      <c r="C108" s="18" t="s">
        <v>3049</v>
      </c>
      <c r="D108" s="19" t="s">
        <v>44</v>
      </c>
      <c r="E108" s="17" t="s">
        <v>45</v>
      </c>
      <c r="F108" s="18" t="s">
        <v>3050</v>
      </c>
      <c r="G108" s="18" t="s">
        <v>3051</v>
      </c>
      <c r="H108" s="18" t="s">
        <v>3052</v>
      </c>
      <c r="I108" s="18"/>
      <c r="J108" s="16" t="s">
        <v>51</v>
      </c>
      <c r="K108" s="18"/>
    </row>
    <row r="109" spans="1:11" ht="42" customHeight="1">
      <c r="A109" s="17" t="s">
        <v>3053</v>
      </c>
      <c r="B109" s="18" t="s">
        <v>3033</v>
      </c>
      <c r="C109" s="18" t="s">
        <v>3054</v>
      </c>
      <c r="D109" s="19" t="s">
        <v>44</v>
      </c>
      <c r="E109" s="17" t="s">
        <v>45</v>
      </c>
      <c r="F109" s="18" t="s">
        <v>3055</v>
      </c>
      <c r="G109" s="18" t="s">
        <v>3056</v>
      </c>
      <c r="H109" s="18" t="s">
        <v>3057</v>
      </c>
      <c r="I109" s="18"/>
      <c r="J109" s="16" t="s">
        <v>51</v>
      </c>
      <c r="K109" s="18"/>
    </row>
    <row r="110" spans="1:11" ht="42" customHeight="1">
      <c r="A110" s="17" t="s">
        <v>3058</v>
      </c>
      <c r="B110" s="18" t="s">
        <v>3033</v>
      </c>
      <c r="C110" s="18" t="s">
        <v>3059</v>
      </c>
      <c r="D110" s="19" t="s">
        <v>44</v>
      </c>
      <c r="E110" s="17" t="s">
        <v>46</v>
      </c>
      <c r="F110" s="18" t="s">
        <v>3060</v>
      </c>
      <c r="G110" s="18" t="s">
        <v>3061</v>
      </c>
      <c r="H110" s="18" t="s">
        <v>3062</v>
      </c>
      <c r="I110" s="18"/>
      <c r="J110" s="16" t="s">
        <v>51</v>
      </c>
      <c r="K110" s="18"/>
    </row>
    <row r="111" spans="1:11" ht="55.5" customHeight="1">
      <c r="A111" s="17" t="s">
        <v>3063</v>
      </c>
      <c r="B111" s="18" t="s">
        <v>3033</v>
      </c>
      <c r="C111" s="18" t="s">
        <v>3064</v>
      </c>
      <c r="D111" s="19" t="s">
        <v>44</v>
      </c>
      <c r="E111" s="17" t="s">
        <v>46</v>
      </c>
      <c r="F111" s="18" t="s">
        <v>3065</v>
      </c>
      <c r="G111" s="18" t="s">
        <v>3066</v>
      </c>
      <c r="H111" s="18" t="s">
        <v>3067</v>
      </c>
      <c r="I111" s="18"/>
      <c r="J111" s="16" t="s">
        <v>51</v>
      </c>
      <c r="K111" s="18"/>
    </row>
    <row r="112" spans="1:11" ht="55.5" customHeight="1">
      <c r="A112" s="17" t="s">
        <v>3068</v>
      </c>
      <c r="B112" s="18" t="s">
        <v>3033</v>
      </c>
      <c r="C112" s="18" t="s">
        <v>3069</v>
      </c>
      <c r="D112" s="19" t="s">
        <v>44</v>
      </c>
      <c r="E112" s="17" t="s">
        <v>46</v>
      </c>
      <c r="F112" s="18" t="s">
        <v>3070</v>
      </c>
      <c r="G112" s="18" t="s">
        <v>3071</v>
      </c>
      <c r="H112" s="18" t="s">
        <v>3072</v>
      </c>
      <c r="I112" s="18"/>
      <c r="J112" s="16" t="s">
        <v>51</v>
      </c>
      <c r="K112" s="18"/>
    </row>
    <row r="113" spans="1:11" ht="55.5" customHeight="1">
      <c r="A113" s="17" t="s">
        <v>3073</v>
      </c>
      <c r="B113" s="18" t="s">
        <v>3033</v>
      </c>
      <c r="C113" s="18" t="s">
        <v>3074</v>
      </c>
      <c r="D113" s="19" t="s">
        <v>44</v>
      </c>
      <c r="E113" s="17" t="s">
        <v>45</v>
      </c>
      <c r="F113" s="18" t="s">
        <v>3075</v>
      </c>
      <c r="G113" s="18" t="s">
        <v>3076</v>
      </c>
      <c r="H113" s="18" t="s">
        <v>3077</v>
      </c>
      <c r="I113" s="18"/>
      <c r="J113" s="16" t="s">
        <v>51</v>
      </c>
      <c r="K113" s="18"/>
    </row>
    <row r="114" spans="1:11" ht="69.75" customHeight="1">
      <c r="A114" s="17" t="s">
        <v>3078</v>
      </c>
      <c r="B114" s="18" t="s">
        <v>3033</v>
      </c>
      <c r="C114" s="18" t="s">
        <v>3079</v>
      </c>
      <c r="D114" s="19" t="s">
        <v>44</v>
      </c>
      <c r="E114" s="17" t="s">
        <v>45</v>
      </c>
      <c r="F114" s="18" t="s">
        <v>3080</v>
      </c>
      <c r="G114" s="18" t="s">
        <v>3081</v>
      </c>
      <c r="H114" s="18" t="s">
        <v>3082</v>
      </c>
      <c r="I114" s="18"/>
      <c r="J114" s="16" t="s">
        <v>51</v>
      </c>
      <c r="K114" s="18"/>
    </row>
    <row r="115" spans="1:11" ht="55.5" customHeight="1">
      <c r="A115" s="17" t="s">
        <v>3083</v>
      </c>
      <c r="B115" s="18" t="s">
        <v>3033</v>
      </c>
      <c r="C115" s="18" t="s">
        <v>3084</v>
      </c>
      <c r="D115" s="19" t="s">
        <v>44</v>
      </c>
      <c r="E115" s="17" t="s">
        <v>45</v>
      </c>
      <c r="F115" s="18" t="s">
        <v>3085</v>
      </c>
      <c r="G115" s="18" t="s">
        <v>3086</v>
      </c>
      <c r="H115" s="18" t="s">
        <v>3087</v>
      </c>
      <c r="I115" s="18"/>
      <c r="J115" s="16" t="s">
        <v>51</v>
      </c>
      <c r="K115" s="18"/>
    </row>
  </sheetData>
  <autoFilter ref="A1:K115" xr:uid="{00000000-0009-0000-0000-000007000000}"/>
  <dataValidations count="3">
    <dataValidation type="list" allowBlank="1" sqref="D2:D115" xr:uid="{00000000-0002-0000-0700-000000000000}">
      <formula1>"Positive,Negative,Functional - Positive,Functional - Negative,Validation - Positive,Validation - Negative,Defect - Functional,Defect - Validation"</formula1>
      <formula2>0</formula2>
    </dataValidation>
    <dataValidation type="list" allowBlank="1" sqref="E2:E115" xr:uid="{00000000-0002-0000-0700-000001000000}">
      <formula1>"High,Medium,Low"</formula1>
      <formula2>0</formula2>
    </dataValidation>
    <dataValidation type="list" allowBlank="1" sqref="J2:J115" xr:uid="{00000000-0002-0000-07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5"/>
  <sheetViews>
    <sheetView zoomScaleNormal="100" workbookViewId="0">
      <selection activeCell="C3" sqref="C3"/>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84" customHeight="1">
      <c r="A2" s="13" t="s">
        <v>3088</v>
      </c>
      <c r="B2" s="14" t="s">
        <v>3089</v>
      </c>
      <c r="C2" s="14" t="s">
        <v>3090</v>
      </c>
      <c r="D2" s="15" t="s">
        <v>43</v>
      </c>
      <c r="E2" s="13" t="s">
        <v>45</v>
      </c>
      <c r="F2" s="14" t="s">
        <v>3091</v>
      </c>
      <c r="G2" s="14" t="s">
        <v>109</v>
      </c>
      <c r="H2" s="14" t="s">
        <v>3092</v>
      </c>
      <c r="I2" s="14"/>
      <c r="J2" s="16" t="s">
        <v>51</v>
      </c>
      <c r="K2" s="14" t="s">
        <v>3093</v>
      </c>
    </row>
    <row r="3" spans="1:11" ht="84" customHeight="1">
      <c r="A3" s="13" t="s">
        <v>3094</v>
      </c>
      <c r="B3" s="14" t="s">
        <v>3089</v>
      </c>
      <c r="C3" s="14" t="s">
        <v>3095</v>
      </c>
      <c r="D3" s="15" t="s">
        <v>43</v>
      </c>
      <c r="E3" s="13" t="s">
        <v>45</v>
      </c>
      <c r="F3" s="14" t="s">
        <v>3096</v>
      </c>
      <c r="G3" s="14" t="s">
        <v>109</v>
      </c>
      <c r="H3" s="14" t="s">
        <v>3097</v>
      </c>
      <c r="I3" s="14"/>
      <c r="J3" s="16" t="s">
        <v>51</v>
      </c>
      <c r="K3" s="14" t="s">
        <v>3093</v>
      </c>
    </row>
    <row r="4" spans="1:11" ht="84" customHeight="1">
      <c r="A4" s="13" t="s">
        <v>3098</v>
      </c>
      <c r="B4" s="14" t="s">
        <v>3089</v>
      </c>
      <c r="C4" s="14" t="s">
        <v>3099</v>
      </c>
      <c r="D4" s="15" t="s">
        <v>43</v>
      </c>
      <c r="E4" s="13" t="s">
        <v>45</v>
      </c>
      <c r="F4" s="14" t="s">
        <v>3100</v>
      </c>
      <c r="G4" s="14" t="s">
        <v>3101</v>
      </c>
      <c r="H4" s="14" t="s">
        <v>3102</v>
      </c>
      <c r="I4" s="14"/>
      <c r="J4" s="16" t="s">
        <v>51</v>
      </c>
      <c r="K4" s="14" t="s">
        <v>3093</v>
      </c>
    </row>
    <row r="5" spans="1:11" ht="84" customHeight="1">
      <c r="A5" s="17" t="s">
        <v>3103</v>
      </c>
      <c r="B5" s="18" t="s">
        <v>3089</v>
      </c>
      <c r="C5" s="18" t="s">
        <v>3104</v>
      </c>
      <c r="D5" s="19" t="s">
        <v>44</v>
      </c>
      <c r="E5" s="17" t="s">
        <v>46</v>
      </c>
      <c r="F5" s="18" t="s">
        <v>3105</v>
      </c>
      <c r="G5" s="18" t="s">
        <v>3106</v>
      </c>
      <c r="H5" s="18" t="s">
        <v>3107</v>
      </c>
      <c r="I5" s="18"/>
      <c r="J5" s="16" t="s">
        <v>51</v>
      </c>
      <c r="K5" s="18" t="s">
        <v>3093</v>
      </c>
    </row>
    <row r="6" spans="1:11" ht="84" customHeight="1">
      <c r="A6" s="13" t="s">
        <v>3108</v>
      </c>
      <c r="B6" s="14" t="s">
        <v>3089</v>
      </c>
      <c r="C6" s="14" t="s">
        <v>3109</v>
      </c>
      <c r="D6" s="15" t="s">
        <v>43</v>
      </c>
      <c r="E6" s="13" t="s">
        <v>46</v>
      </c>
      <c r="F6" s="14" t="s">
        <v>3110</v>
      </c>
      <c r="G6" s="14" t="s">
        <v>3111</v>
      </c>
      <c r="H6" s="14" t="s">
        <v>3112</v>
      </c>
      <c r="I6" s="14"/>
      <c r="J6" s="16" t="s">
        <v>51</v>
      </c>
      <c r="K6" s="14" t="s">
        <v>3093</v>
      </c>
    </row>
    <row r="7" spans="1:11" ht="84" customHeight="1">
      <c r="A7" s="13" t="s">
        <v>3113</v>
      </c>
      <c r="B7" s="14" t="s">
        <v>3089</v>
      </c>
      <c r="C7" s="14" t="s">
        <v>3114</v>
      </c>
      <c r="D7" s="15" t="s">
        <v>43</v>
      </c>
      <c r="E7" s="13" t="s">
        <v>46</v>
      </c>
      <c r="F7" s="14" t="s">
        <v>3115</v>
      </c>
      <c r="G7" s="14" t="s">
        <v>109</v>
      </c>
      <c r="H7" s="14" t="s">
        <v>3116</v>
      </c>
      <c r="I7" s="14"/>
      <c r="J7" s="16" t="s">
        <v>51</v>
      </c>
      <c r="K7" s="14" t="s">
        <v>3093</v>
      </c>
    </row>
    <row r="8" spans="1:11" ht="84" customHeight="1">
      <c r="A8" s="13" t="s">
        <v>3117</v>
      </c>
      <c r="B8" s="14" t="s">
        <v>3118</v>
      </c>
      <c r="C8" s="14" t="s">
        <v>3119</v>
      </c>
      <c r="D8" s="15" t="s">
        <v>43</v>
      </c>
      <c r="E8" s="13" t="s">
        <v>45</v>
      </c>
      <c r="F8" s="14" t="s">
        <v>3120</v>
      </c>
      <c r="G8" s="14" t="s">
        <v>109</v>
      </c>
      <c r="H8" s="14" t="s">
        <v>3121</v>
      </c>
      <c r="I8" s="14"/>
      <c r="J8" s="16" t="s">
        <v>51</v>
      </c>
      <c r="K8" s="14" t="s">
        <v>3093</v>
      </c>
    </row>
    <row r="9" spans="1:11" ht="84" customHeight="1">
      <c r="A9" s="17" t="s">
        <v>3122</v>
      </c>
      <c r="B9" s="18" t="s">
        <v>3118</v>
      </c>
      <c r="C9" s="18" t="s">
        <v>3123</v>
      </c>
      <c r="D9" s="19" t="s">
        <v>44</v>
      </c>
      <c r="E9" s="17" t="s">
        <v>46</v>
      </c>
      <c r="F9" s="18" t="s">
        <v>3124</v>
      </c>
      <c r="G9" s="18" t="s">
        <v>109</v>
      </c>
      <c r="H9" s="18" t="s">
        <v>3125</v>
      </c>
      <c r="I9" s="18"/>
      <c r="J9" s="16" t="s">
        <v>51</v>
      </c>
      <c r="K9" s="18" t="s">
        <v>3093</v>
      </c>
    </row>
    <row r="10" spans="1:11" ht="84" customHeight="1">
      <c r="A10" s="17" t="s">
        <v>3126</v>
      </c>
      <c r="B10" s="18" t="s">
        <v>3118</v>
      </c>
      <c r="C10" s="18" t="s">
        <v>3127</v>
      </c>
      <c r="D10" s="19" t="s">
        <v>44</v>
      </c>
      <c r="E10" s="17" t="s">
        <v>45</v>
      </c>
      <c r="F10" s="18" t="s">
        <v>3128</v>
      </c>
      <c r="G10" s="18" t="s">
        <v>3129</v>
      </c>
      <c r="H10" s="18" t="s">
        <v>3130</v>
      </c>
      <c r="I10" s="18"/>
      <c r="J10" s="16" t="s">
        <v>51</v>
      </c>
      <c r="K10" s="18" t="s">
        <v>3093</v>
      </c>
    </row>
    <row r="11" spans="1:11" ht="84" customHeight="1">
      <c r="A11" s="13" t="s">
        <v>3131</v>
      </c>
      <c r="B11" s="14" t="s">
        <v>3118</v>
      </c>
      <c r="C11" s="14" t="s">
        <v>3132</v>
      </c>
      <c r="D11" s="15" t="s">
        <v>43</v>
      </c>
      <c r="E11" s="13" t="s">
        <v>46</v>
      </c>
      <c r="F11" s="14" t="s">
        <v>3133</v>
      </c>
      <c r="G11" s="14" t="s">
        <v>109</v>
      </c>
      <c r="H11" s="14" t="s">
        <v>3134</v>
      </c>
      <c r="I11" s="14"/>
      <c r="J11" s="16" t="s">
        <v>51</v>
      </c>
      <c r="K11" s="14" t="s">
        <v>3093</v>
      </c>
    </row>
    <row r="12" spans="1:11" ht="84" customHeight="1">
      <c r="A12" s="13" t="s">
        <v>3135</v>
      </c>
      <c r="B12" s="14" t="s">
        <v>3118</v>
      </c>
      <c r="C12" s="14" t="s">
        <v>3136</v>
      </c>
      <c r="D12" s="15" t="s">
        <v>43</v>
      </c>
      <c r="E12" s="13" t="s">
        <v>45</v>
      </c>
      <c r="F12" s="14" t="s">
        <v>3137</v>
      </c>
      <c r="G12" s="14" t="s">
        <v>3138</v>
      </c>
      <c r="H12" s="14" t="s">
        <v>3139</v>
      </c>
      <c r="I12" s="14"/>
      <c r="J12" s="16" t="s">
        <v>51</v>
      </c>
      <c r="K12" s="14" t="s">
        <v>3093</v>
      </c>
    </row>
    <row r="13" spans="1:11" ht="84" customHeight="1">
      <c r="A13" s="17" t="s">
        <v>3140</v>
      </c>
      <c r="B13" s="18" t="s">
        <v>3118</v>
      </c>
      <c r="C13" s="18" t="s">
        <v>3141</v>
      </c>
      <c r="D13" s="19" t="s">
        <v>44</v>
      </c>
      <c r="E13" s="17" t="s">
        <v>46</v>
      </c>
      <c r="F13" s="18" t="s">
        <v>3142</v>
      </c>
      <c r="G13" s="18" t="s">
        <v>3143</v>
      </c>
      <c r="H13" s="18" t="s">
        <v>3144</v>
      </c>
      <c r="I13" s="18"/>
      <c r="J13" s="16" t="s">
        <v>51</v>
      </c>
      <c r="K13" s="18" t="s">
        <v>3093</v>
      </c>
    </row>
    <row r="14" spans="1:11" ht="84" customHeight="1">
      <c r="A14" s="13" t="s">
        <v>3145</v>
      </c>
      <c r="B14" s="14" t="s">
        <v>3118</v>
      </c>
      <c r="C14" s="14" t="s">
        <v>3146</v>
      </c>
      <c r="D14" s="15" t="s">
        <v>43</v>
      </c>
      <c r="E14" s="13" t="s">
        <v>47</v>
      </c>
      <c r="F14" s="14" t="s">
        <v>3147</v>
      </c>
      <c r="G14" s="14" t="s">
        <v>3148</v>
      </c>
      <c r="H14" s="14" t="s">
        <v>3149</v>
      </c>
      <c r="I14" s="14"/>
      <c r="J14" s="16" t="s">
        <v>51</v>
      </c>
      <c r="K14" s="14" t="s">
        <v>3093</v>
      </c>
    </row>
    <row r="15" spans="1:11" ht="84" customHeight="1">
      <c r="A15" s="13" t="s">
        <v>3150</v>
      </c>
      <c r="B15" s="14" t="s">
        <v>3151</v>
      </c>
      <c r="C15" s="14" t="s">
        <v>3152</v>
      </c>
      <c r="D15" s="15" t="s">
        <v>43</v>
      </c>
      <c r="E15" s="13" t="s">
        <v>45</v>
      </c>
      <c r="F15" s="14" t="s">
        <v>3153</v>
      </c>
      <c r="G15" s="14" t="s">
        <v>3154</v>
      </c>
      <c r="H15" s="14" t="s">
        <v>3155</v>
      </c>
      <c r="I15" s="14"/>
      <c r="J15" s="16" t="s">
        <v>51</v>
      </c>
      <c r="K15" s="14" t="s">
        <v>3093</v>
      </c>
    </row>
    <row r="16" spans="1:11" ht="84" customHeight="1">
      <c r="A16" s="13" t="s">
        <v>3156</v>
      </c>
      <c r="B16" s="14" t="s">
        <v>3151</v>
      </c>
      <c r="C16" s="14" t="s">
        <v>3157</v>
      </c>
      <c r="D16" s="15" t="s">
        <v>43</v>
      </c>
      <c r="E16" s="13" t="s">
        <v>45</v>
      </c>
      <c r="F16" s="14" t="s">
        <v>3158</v>
      </c>
      <c r="G16" s="14" t="s">
        <v>3159</v>
      </c>
      <c r="H16" s="14" t="s">
        <v>3160</v>
      </c>
      <c r="I16" s="14"/>
      <c r="J16" s="16" t="s">
        <v>51</v>
      </c>
      <c r="K16" s="14" t="s">
        <v>3093</v>
      </c>
    </row>
    <row r="17" spans="1:11" ht="84" customHeight="1">
      <c r="A17" s="17" t="s">
        <v>3161</v>
      </c>
      <c r="B17" s="18" t="s">
        <v>3151</v>
      </c>
      <c r="C17" s="18" t="s">
        <v>3162</v>
      </c>
      <c r="D17" s="19" t="s">
        <v>44</v>
      </c>
      <c r="E17" s="17" t="s">
        <v>46</v>
      </c>
      <c r="F17" s="18" t="s">
        <v>3163</v>
      </c>
      <c r="G17" s="18" t="s">
        <v>3164</v>
      </c>
      <c r="H17" s="18" t="s">
        <v>3165</v>
      </c>
      <c r="I17" s="18"/>
      <c r="J17" s="16" t="s">
        <v>51</v>
      </c>
      <c r="K17" s="18" t="s">
        <v>3093</v>
      </c>
    </row>
    <row r="18" spans="1:11" ht="84" customHeight="1">
      <c r="A18" s="13" t="s">
        <v>3166</v>
      </c>
      <c r="B18" s="14" t="s">
        <v>3151</v>
      </c>
      <c r="C18" s="14" t="s">
        <v>3167</v>
      </c>
      <c r="D18" s="15" t="s">
        <v>43</v>
      </c>
      <c r="E18" s="13" t="s">
        <v>46</v>
      </c>
      <c r="F18" s="14" t="s">
        <v>3168</v>
      </c>
      <c r="G18" s="14" t="s">
        <v>3169</v>
      </c>
      <c r="H18" s="14" t="s">
        <v>3170</v>
      </c>
      <c r="I18" s="14"/>
      <c r="J18" s="16" t="s">
        <v>51</v>
      </c>
      <c r="K18" s="14" t="s">
        <v>3093</v>
      </c>
    </row>
    <row r="19" spans="1:11" ht="84" customHeight="1">
      <c r="A19" s="17" t="s">
        <v>3171</v>
      </c>
      <c r="B19" s="18" t="s">
        <v>3151</v>
      </c>
      <c r="C19" s="18" t="s">
        <v>3172</v>
      </c>
      <c r="D19" s="19" t="s">
        <v>44</v>
      </c>
      <c r="E19" s="17" t="s">
        <v>45</v>
      </c>
      <c r="F19" s="18" t="s">
        <v>3173</v>
      </c>
      <c r="G19" s="18" t="s">
        <v>3174</v>
      </c>
      <c r="H19" s="18" t="s">
        <v>3175</v>
      </c>
      <c r="I19" s="18"/>
      <c r="J19" s="16" t="s">
        <v>51</v>
      </c>
      <c r="K19" s="18" t="s">
        <v>3093</v>
      </c>
    </row>
    <row r="20" spans="1:11" ht="84" customHeight="1">
      <c r="A20" s="13" t="s">
        <v>3176</v>
      </c>
      <c r="B20" s="14" t="s">
        <v>3177</v>
      </c>
      <c r="C20" s="14" t="s">
        <v>3178</v>
      </c>
      <c r="D20" s="15" t="s">
        <v>43</v>
      </c>
      <c r="E20" s="13" t="s">
        <v>45</v>
      </c>
      <c r="F20" s="14" t="s">
        <v>3179</v>
      </c>
      <c r="G20" s="14" t="s">
        <v>109</v>
      </c>
      <c r="H20" s="14" t="s">
        <v>3180</v>
      </c>
      <c r="I20" s="14"/>
      <c r="J20" s="16" t="s">
        <v>51</v>
      </c>
      <c r="K20" s="14" t="s">
        <v>3093</v>
      </c>
    </row>
    <row r="21" spans="1:11" ht="84" customHeight="1">
      <c r="A21" s="13" t="s">
        <v>3181</v>
      </c>
      <c r="B21" s="14" t="s">
        <v>3177</v>
      </c>
      <c r="C21" s="14" t="s">
        <v>3182</v>
      </c>
      <c r="D21" s="15" t="s">
        <v>43</v>
      </c>
      <c r="E21" s="13" t="s">
        <v>45</v>
      </c>
      <c r="F21" s="14" t="s">
        <v>3183</v>
      </c>
      <c r="G21" s="14" t="s">
        <v>109</v>
      </c>
      <c r="H21" s="14" t="s">
        <v>3184</v>
      </c>
      <c r="I21" s="14"/>
      <c r="J21" s="16" t="s">
        <v>51</v>
      </c>
      <c r="K21" s="14" t="s">
        <v>3093</v>
      </c>
    </row>
    <row r="22" spans="1:11" ht="55.5" customHeight="1">
      <c r="A22" s="17" t="s">
        <v>3185</v>
      </c>
      <c r="B22" s="18" t="s">
        <v>3177</v>
      </c>
      <c r="C22" s="18" t="s">
        <v>3186</v>
      </c>
      <c r="D22" s="19" t="s">
        <v>44</v>
      </c>
      <c r="E22" s="17" t="s">
        <v>46</v>
      </c>
      <c r="F22" s="18" t="s">
        <v>3187</v>
      </c>
      <c r="G22" s="18" t="s">
        <v>3188</v>
      </c>
      <c r="H22" s="18" t="s">
        <v>3189</v>
      </c>
      <c r="I22" s="18"/>
      <c r="J22" s="16" t="s">
        <v>51</v>
      </c>
      <c r="K22" s="18" t="s">
        <v>3190</v>
      </c>
    </row>
    <row r="23" spans="1:11" ht="84" customHeight="1">
      <c r="A23" s="17" t="s">
        <v>3191</v>
      </c>
      <c r="B23" s="18" t="s">
        <v>3177</v>
      </c>
      <c r="C23" s="18" t="s">
        <v>3192</v>
      </c>
      <c r="D23" s="19" t="s">
        <v>44</v>
      </c>
      <c r="E23" s="17" t="s">
        <v>46</v>
      </c>
      <c r="F23" s="18" t="s">
        <v>3193</v>
      </c>
      <c r="G23" s="18" t="s">
        <v>109</v>
      </c>
      <c r="H23" s="18" t="s">
        <v>3194</v>
      </c>
      <c r="I23" s="18"/>
      <c r="J23" s="16" t="s">
        <v>51</v>
      </c>
      <c r="K23" s="18" t="s">
        <v>3093</v>
      </c>
    </row>
    <row r="24" spans="1:11" ht="84" customHeight="1">
      <c r="A24" s="13" t="s">
        <v>3195</v>
      </c>
      <c r="B24" s="14" t="s">
        <v>3196</v>
      </c>
      <c r="C24" s="14" t="s">
        <v>3197</v>
      </c>
      <c r="D24" s="15" t="s">
        <v>43</v>
      </c>
      <c r="E24" s="13" t="s">
        <v>45</v>
      </c>
      <c r="F24" s="14" t="s">
        <v>3198</v>
      </c>
      <c r="G24" s="14" t="s">
        <v>109</v>
      </c>
      <c r="H24" s="14" t="s">
        <v>3199</v>
      </c>
      <c r="I24" s="14"/>
      <c r="J24" s="16" t="s">
        <v>51</v>
      </c>
      <c r="K24" s="14" t="s">
        <v>3093</v>
      </c>
    </row>
    <row r="25" spans="1:11" ht="84" customHeight="1">
      <c r="A25" s="17" t="s">
        <v>3200</v>
      </c>
      <c r="B25" s="18" t="s">
        <v>3196</v>
      </c>
      <c r="C25" s="18" t="s">
        <v>3201</v>
      </c>
      <c r="D25" s="19" t="s">
        <v>44</v>
      </c>
      <c r="E25" s="17" t="s">
        <v>45</v>
      </c>
      <c r="F25" s="18" t="s">
        <v>3202</v>
      </c>
      <c r="G25" s="18" t="s">
        <v>3203</v>
      </c>
      <c r="H25" s="18" t="s">
        <v>3204</v>
      </c>
      <c r="I25" s="18"/>
      <c r="J25" s="16" t="s">
        <v>51</v>
      </c>
      <c r="K25" s="18" t="s">
        <v>3093</v>
      </c>
    </row>
    <row r="26" spans="1:11" ht="84" customHeight="1">
      <c r="A26" s="17" t="s">
        <v>3205</v>
      </c>
      <c r="B26" s="18" t="s">
        <v>3196</v>
      </c>
      <c r="C26" s="18" t="s">
        <v>3206</v>
      </c>
      <c r="D26" s="19" t="s">
        <v>44</v>
      </c>
      <c r="E26" s="17" t="s">
        <v>45</v>
      </c>
      <c r="F26" s="18" t="s">
        <v>3207</v>
      </c>
      <c r="G26" s="18" t="s">
        <v>3208</v>
      </c>
      <c r="H26" s="18" t="s">
        <v>3209</v>
      </c>
      <c r="I26" s="18"/>
      <c r="J26" s="16" t="s">
        <v>51</v>
      </c>
      <c r="K26" s="18" t="s">
        <v>3093</v>
      </c>
    </row>
    <row r="27" spans="1:11" ht="84" customHeight="1">
      <c r="A27" s="13" t="s">
        <v>3210</v>
      </c>
      <c r="B27" s="14" t="s">
        <v>3196</v>
      </c>
      <c r="C27" s="14" t="s">
        <v>3211</v>
      </c>
      <c r="D27" s="15" t="s">
        <v>43</v>
      </c>
      <c r="E27" s="13" t="s">
        <v>47</v>
      </c>
      <c r="F27" s="14" t="s">
        <v>3212</v>
      </c>
      <c r="G27" s="14" t="s">
        <v>109</v>
      </c>
      <c r="H27" s="14" t="s">
        <v>3213</v>
      </c>
      <c r="I27" s="14"/>
      <c r="J27" s="16" t="s">
        <v>51</v>
      </c>
      <c r="K27" s="14" t="s">
        <v>3093</v>
      </c>
    </row>
    <row r="28" spans="1:11" ht="84" customHeight="1">
      <c r="A28" s="17" t="s">
        <v>3214</v>
      </c>
      <c r="B28" s="18" t="s">
        <v>3196</v>
      </c>
      <c r="C28" s="18" t="s">
        <v>3215</v>
      </c>
      <c r="D28" s="19" t="s">
        <v>44</v>
      </c>
      <c r="E28" s="17" t="s">
        <v>46</v>
      </c>
      <c r="F28" s="18" t="s">
        <v>3216</v>
      </c>
      <c r="G28" s="18" t="s">
        <v>3217</v>
      </c>
      <c r="H28" s="18" t="s">
        <v>3218</v>
      </c>
      <c r="I28" s="18"/>
      <c r="J28" s="16" t="s">
        <v>51</v>
      </c>
      <c r="K28" s="18" t="s">
        <v>3093</v>
      </c>
    </row>
    <row r="29" spans="1:11" ht="84" customHeight="1">
      <c r="A29" s="13" t="s">
        <v>3219</v>
      </c>
      <c r="B29" s="14" t="s">
        <v>3220</v>
      </c>
      <c r="C29" s="14" t="s">
        <v>3221</v>
      </c>
      <c r="D29" s="15" t="s">
        <v>43</v>
      </c>
      <c r="E29" s="13" t="s">
        <v>46</v>
      </c>
      <c r="F29" s="14" t="s">
        <v>3222</v>
      </c>
      <c r="G29" s="14" t="s">
        <v>3223</v>
      </c>
      <c r="H29" s="14" t="s">
        <v>3224</v>
      </c>
      <c r="I29" s="14"/>
      <c r="J29" s="16" t="s">
        <v>51</v>
      </c>
      <c r="K29" s="14" t="s">
        <v>3093</v>
      </c>
    </row>
    <row r="30" spans="1:11" ht="84" customHeight="1">
      <c r="A30" s="17" t="s">
        <v>3225</v>
      </c>
      <c r="B30" s="18" t="s">
        <v>3220</v>
      </c>
      <c r="C30" s="18" t="s">
        <v>3226</v>
      </c>
      <c r="D30" s="19" t="s">
        <v>44</v>
      </c>
      <c r="E30" s="17" t="s">
        <v>46</v>
      </c>
      <c r="F30" s="18" t="s">
        <v>3227</v>
      </c>
      <c r="G30" s="18" t="s">
        <v>3228</v>
      </c>
      <c r="H30" s="18" t="s">
        <v>3229</v>
      </c>
      <c r="I30" s="18"/>
      <c r="J30" s="16" t="s">
        <v>51</v>
      </c>
      <c r="K30" s="18" t="s">
        <v>3093</v>
      </c>
    </row>
    <row r="31" spans="1:11" ht="84" customHeight="1">
      <c r="A31" s="17" t="s">
        <v>3230</v>
      </c>
      <c r="B31" s="18" t="s">
        <v>3220</v>
      </c>
      <c r="C31" s="18" t="s">
        <v>3231</v>
      </c>
      <c r="D31" s="19" t="s">
        <v>44</v>
      </c>
      <c r="E31" s="17" t="s">
        <v>46</v>
      </c>
      <c r="F31" s="18" t="s">
        <v>3232</v>
      </c>
      <c r="G31" s="18" t="s">
        <v>3233</v>
      </c>
      <c r="H31" s="18" t="s">
        <v>3234</v>
      </c>
      <c r="I31" s="18"/>
      <c r="J31" s="16" t="s">
        <v>51</v>
      </c>
      <c r="K31" s="18" t="s">
        <v>3093</v>
      </c>
    </row>
    <row r="32" spans="1:11" ht="84" customHeight="1">
      <c r="A32" s="13" t="s">
        <v>3235</v>
      </c>
      <c r="B32" s="14" t="s">
        <v>3220</v>
      </c>
      <c r="C32" s="14" t="s">
        <v>3236</v>
      </c>
      <c r="D32" s="15" t="s">
        <v>43</v>
      </c>
      <c r="E32" s="13" t="s">
        <v>47</v>
      </c>
      <c r="F32" s="14" t="s">
        <v>3237</v>
      </c>
      <c r="G32" s="14" t="s">
        <v>3238</v>
      </c>
      <c r="H32" s="14" t="s">
        <v>3239</v>
      </c>
      <c r="I32" s="14"/>
      <c r="J32" s="16" t="s">
        <v>51</v>
      </c>
      <c r="K32" s="14" t="s">
        <v>3093</v>
      </c>
    </row>
    <row r="33" spans="1:11" ht="84" customHeight="1">
      <c r="A33" s="13" t="s">
        <v>3240</v>
      </c>
      <c r="B33" s="14" t="s">
        <v>3220</v>
      </c>
      <c r="C33" s="14" t="s">
        <v>3241</v>
      </c>
      <c r="D33" s="15" t="s">
        <v>43</v>
      </c>
      <c r="E33" s="13" t="s">
        <v>45</v>
      </c>
      <c r="F33" s="14" t="s">
        <v>3242</v>
      </c>
      <c r="G33" s="14" t="s">
        <v>3243</v>
      </c>
      <c r="H33" s="14" t="s">
        <v>3244</v>
      </c>
      <c r="I33" s="14"/>
      <c r="J33" s="16" t="s">
        <v>51</v>
      </c>
      <c r="K33" s="14" t="s">
        <v>3093</v>
      </c>
    </row>
    <row r="34" spans="1:11" ht="84" customHeight="1">
      <c r="A34" s="17" t="s">
        <v>3245</v>
      </c>
      <c r="B34" s="18" t="s">
        <v>3220</v>
      </c>
      <c r="C34" s="18" t="s">
        <v>3246</v>
      </c>
      <c r="D34" s="19" t="s">
        <v>44</v>
      </c>
      <c r="E34" s="17" t="s">
        <v>45</v>
      </c>
      <c r="F34" s="18" t="s">
        <v>3247</v>
      </c>
      <c r="G34" s="18" t="s">
        <v>3248</v>
      </c>
      <c r="H34" s="18" t="s">
        <v>3249</v>
      </c>
      <c r="I34" s="18"/>
      <c r="J34" s="16" t="s">
        <v>51</v>
      </c>
      <c r="K34" s="18" t="s">
        <v>3093</v>
      </c>
    </row>
    <row r="35" spans="1:11" ht="84" customHeight="1">
      <c r="A35" s="17" t="s">
        <v>3250</v>
      </c>
      <c r="B35" s="18" t="s">
        <v>3220</v>
      </c>
      <c r="C35" s="18" t="s">
        <v>3251</v>
      </c>
      <c r="D35" s="19" t="s">
        <v>44</v>
      </c>
      <c r="E35" s="17" t="s">
        <v>46</v>
      </c>
      <c r="F35" s="18" t="s">
        <v>3252</v>
      </c>
      <c r="G35" s="18" t="s">
        <v>3253</v>
      </c>
      <c r="H35" s="18" t="s">
        <v>3254</v>
      </c>
      <c r="I35" s="18"/>
      <c r="J35" s="16" t="s">
        <v>51</v>
      </c>
      <c r="K35" s="18" t="s">
        <v>3093</v>
      </c>
    </row>
    <row r="36" spans="1:11" ht="55.5" customHeight="1">
      <c r="A36" s="17" t="s">
        <v>3255</v>
      </c>
      <c r="B36" s="18" t="s">
        <v>3220</v>
      </c>
      <c r="C36" s="18" t="s">
        <v>3256</v>
      </c>
      <c r="D36" s="19" t="s">
        <v>44</v>
      </c>
      <c r="E36" s="17" t="s">
        <v>46</v>
      </c>
      <c r="F36" s="18" t="s">
        <v>3257</v>
      </c>
      <c r="G36" s="18" t="s">
        <v>3258</v>
      </c>
      <c r="H36" s="18" t="s">
        <v>3259</v>
      </c>
      <c r="I36" s="18"/>
      <c r="J36" s="16" t="s">
        <v>51</v>
      </c>
      <c r="K36" s="18" t="s">
        <v>3260</v>
      </c>
    </row>
    <row r="37" spans="1:11" ht="84" customHeight="1">
      <c r="A37" s="13" t="s">
        <v>3261</v>
      </c>
      <c r="B37" s="14" t="s">
        <v>3220</v>
      </c>
      <c r="C37" s="14" t="s">
        <v>3262</v>
      </c>
      <c r="D37" s="15" t="s">
        <v>43</v>
      </c>
      <c r="E37" s="13" t="s">
        <v>46</v>
      </c>
      <c r="F37" s="14" t="s">
        <v>3263</v>
      </c>
      <c r="G37" s="14" t="s">
        <v>3264</v>
      </c>
      <c r="H37" s="14" t="s">
        <v>3265</v>
      </c>
      <c r="I37" s="14"/>
      <c r="J37" s="16" t="s">
        <v>51</v>
      </c>
      <c r="K37" s="14" t="s">
        <v>3093</v>
      </c>
    </row>
    <row r="38" spans="1:11" ht="84" customHeight="1">
      <c r="A38" s="17" t="s">
        <v>3266</v>
      </c>
      <c r="B38" s="18" t="s">
        <v>3220</v>
      </c>
      <c r="C38" s="18" t="s">
        <v>3267</v>
      </c>
      <c r="D38" s="19" t="s">
        <v>44</v>
      </c>
      <c r="E38" s="17" t="s">
        <v>46</v>
      </c>
      <c r="F38" s="18" t="s">
        <v>3268</v>
      </c>
      <c r="G38" s="18" t="s">
        <v>3269</v>
      </c>
      <c r="H38" s="18" t="s">
        <v>3270</v>
      </c>
      <c r="I38" s="18"/>
      <c r="J38" s="16" t="s">
        <v>51</v>
      </c>
      <c r="K38" s="18" t="s">
        <v>3093</v>
      </c>
    </row>
    <row r="39" spans="1:11" ht="84" customHeight="1">
      <c r="A39" s="17" t="s">
        <v>3271</v>
      </c>
      <c r="B39" s="18" t="s">
        <v>3220</v>
      </c>
      <c r="C39" s="18" t="s">
        <v>3272</v>
      </c>
      <c r="D39" s="19" t="s">
        <v>44</v>
      </c>
      <c r="E39" s="17" t="s">
        <v>47</v>
      </c>
      <c r="F39" s="18" t="s">
        <v>3273</v>
      </c>
      <c r="G39" s="18" t="s">
        <v>3274</v>
      </c>
      <c r="H39" s="18" t="s">
        <v>3275</v>
      </c>
      <c r="I39" s="18"/>
      <c r="J39" s="16" t="s">
        <v>51</v>
      </c>
      <c r="K39" s="18" t="s">
        <v>3093</v>
      </c>
    </row>
    <row r="40" spans="1:11" ht="84" customHeight="1">
      <c r="A40" s="17" t="s">
        <v>3276</v>
      </c>
      <c r="B40" s="18" t="s">
        <v>3220</v>
      </c>
      <c r="C40" s="18" t="s">
        <v>3277</v>
      </c>
      <c r="D40" s="19" t="s">
        <v>44</v>
      </c>
      <c r="E40" s="17" t="s">
        <v>45</v>
      </c>
      <c r="F40" s="18" t="s">
        <v>3278</v>
      </c>
      <c r="G40" s="18" t="s">
        <v>3279</v>
      </c>
      <c r="H40" s="18" t="s">
        <v>3280</v>
      </c>
      <c r="I40" s="18"/>
      <c r="J40" s="16" t="s">
        <v>51</v>
      </c>
      <c r="K40" s="18" t="s">
        <v>3093</v>
      </c>
    </row>
    <row r="41" spans="1:11" ht="84" customHeight="1">
      <c r="A41" s="17" t="s">
        <v>3281</v>
      </c>
      <c r="B41" s="18" t="s">
        <v>3220</v>
      </c>
      <c r="C41" s="18" t="s">
        <v>3282</v>
      </c>
      <c r="D41" s="19" t="s">
        <v>44</v>
      </c>
      <c r="E41" s="17" t="s">
        <v>47</v>
      </c>
      <c r="F41" s="18" t="s">
        <v>3283</v>
      </c>
      <c r="G41" s="18" t="s">
        <v>3284</v>
      </c>
      <c r="H41" s="18" t="s">
        <v>3285</v>
      </c>
      <c r="I41" s="18"/>
      <c r="J41" s="16" t="s">
        <v>51</v>
      </c>
      <c r="K41" s="18" t="s">
        <v>3093</v>
      </c>
    </row>
    <row r="42" spans="1:11" ht="84" customHeight="1">
      <c r="A42" s="13" t="s">
        <v>3286</v>
      </c>
      <c r="B42" s="14" t="s">
        <v>3220</v>
      </c>
      <c r="C42" s="14" t="s">
        <v>3287</v>
      </c>
      <c r="D42" s="15" t="s">
        <v>43</v>
      </c>
      <c r="E42" s="13" t="s">
        <v>46</v>
      </c>
      <c r="F42" s="14" t="s">
        <v>3288</v>
      </c>
      <c r="G42" s="14" t="s">
        <v>3264</v>
      </c>
      <c r="H42" s="14" t="s">
        <v>3289</v>
      </c>
      <c r="I42" s="14"/>
      <c r="J42" s="16" t="s">
        <v>51</v>
      </c>
      <c r="K42" s="14" t="s">
        <v>3093</v>
      </c>
    </row>
    <row r="43" spans="1:11" ht="84" customHeight="1">
      <c r="A43" s="13" t="s">
        <v>3290</v>
      </c>
      <c r="B43" s="14" t="s">
        <v>3220</v>
      </c>
      <c r="C43" s="14" t="s">
        <v>3291</v>
      </c>
      <c r="D43" s="15" t="s">
        <v>43</v>
      </c>
      <c r="E43" s="13" t="s">
        <v>46</v>
      </c>
      <c r="F43" s="14" t="s">
        <v>3292</v>
      </c>
      <c r="G43" s="14" t="s">
        <v>3293</v>
      </c>
      <c r="H43" s="14" t="s">
        <v>3294</v>
      </c>
      <c r="I43" s="14"/>
      <c r="J43" s="16" t="s">
        <v>51</v>
      </c>
      <c r="K43" s="14" t="s">
        <v>3093</v>
      </c>
    </row>
    <row r="44" spans="1:11" ht="84" customHeight="1">
      <c r="A44" s="13" t="s">
        <v>3295</v>
      </c>
      <c r="B44" s="14" t="s">
        <v>3220</v>
      </c>
      <c r="C44" s="14" t="s">
        <v>3296</v>
      </c>
      <c r="D44" s="15" t="s">
        <v>43</v>
      </c>
      <c r="E44" s="13" t="s">
        <v>46</v>
      </c>
      <c r="F44" s="14" t="s">
        <v>3297</v>
      </c>
      <c r="G44" s="14" t="s">
        <v>3298</v>
      </c>
      <c r="H44" s="14" t="s">
        <v>3299</v>
      </c>
      <c r="I44" s="14"/>
      <c r="J44" s="16" t="s">
        <v>51</v>
      </c>
      <c r="K44" s="14" t="s">
        <v>3093</v>
      </c>
    </row>
    <row r="45" spans="1:11" ht="84" customHeight="1">
      <c r="A45" s="17" t="s">
        <v>3300</v>
      </c>
      <c r="B45" s="18" t="s">
        <v>3220</v>
      </c>
      <c r="C45" s="18" t="s">
        <v>3301</v>
      </c>
      <c r="D45" s="19" t="s">
        <v>44</v>
      </c>
      <c r="E45" s="17" t="s">
        <v>46</v>
      </c>
      <c r="F45" s="18" t="s">
        <v>3302</v>
      </c>
      <c r="G45" s="18" t="s">
        <v>3303</v>
      </c>
      <c r="H45" s="18" t="s">
        <v>3304</v>
      </c>
      <c r="I45" s="18"/>
      <c r="J45" s="16" t="s">
        <v>51</v>
      </c>
      <c r="K45" s="18" t="s">
        <v>3093</v>
      </c>
    </row>
    <row r="46" spans="1:11" ht="84" customHeight="1">
      <c r="A46" s="13" t="s">
        <v>3305</v>
      </c>
      <c r="B46" s="14" t="s">
        <v>3220</v>
      </c>
      <c r="C46" s="14" t="s">
        <v>3306</v>
      </c>
      <c r="D46" s="15" t="s">
        <v>43</v>
      </c>
      <c r="E46" s="13" t="s">
        <v>46</v>
      </c>
      <c r="F46" s="14" t="s">
        <v>3307</v>
      </c>
      <c r="G46" s="14" t="s">
        <v>3308</v>
      </c>
      <c r="H46" s="14" t="s">
        <v>3224</v>
      </c>
      <c r="I46" s="14"/>
      <c r="J46" s="16" t="s">
        <v>51</v>
      </c>
      <c r="K46" s="14" t="s">
        <v>3093</v>
      </c>
    </row>
    <row r="47" spans="1:11" ht="84" customHeight="1">
      <c r="A47" s="17" t="s">
        <v>3309</v>
      </c>
      <c r="B47" s="18" t="s">
        <v>3220</v>
      </c>
      <c r="C47" s="18" t="s">
        <v>3310</v>
      </c>
      <c r="D47" s="19" t="s">
        <v>44</v>
      </c>
      <c r="E47" s="17" t="s">
        <v>46</v>
      </c>
      <c r="F47" s="18" t="s">
        <v>3311</v>
      </c>
      <c r="G47" s="18" t="s">
        <v>3312</v>
      </c>
      <c r="H47" s="18" t="s">
        <v>3229</v>
      </c>
      <c r="I47" s="18"/>
      <c r="J47" s="16" t="s">
        <v>51</v>
      </c>
      <c r="K47" s="18" t="s">
        <v>3093</v>
      </c>
    </row>
    <row r="48" spans="1:11" ht="84" customHeight="1">
      <c r="A48" s="17" t="s">
        <v>3313</v>
      </c>
      <c r="B48" s="18" t="s">
        <v>3220</v>
      </c>
      <c r="C48" s="18" t="s">
        <v>3314</v>
      </c>
      <c r="D48" s="19" t="s">
        <v>44</v>
      </c>
      <c r="E48" s="17" t="s">
        <v>46</v>
      </c>
      <c r="F48" s="18" t="s">
        <v>3315</v>
      </c>
      <c r="G48" s="18" t="s">
        <v>3316</v>
      </c>
      <c r="H48" s="18" t="s">
        <v>3317</v>
      </c>
      <c r="I48" s="18"/>
      <c r="J48" s="16" t="s">
        <v>51</v>
      </c>
      <c r="K48" s="18" t="s">
        <v>3093</v>
      </c>
    </row>
    <row r="49" spans="1:11" ht="84" customHeight="1">
      <c r="A49" s="13" t="s">
        <v>3318</v>
      </c>
      <c r="B49" s="14" t="s">
        <v>3220</v>
      </c>
      <c r="C49" s="14" t="s">
        <v>3319</v>
      </c>
      <c r="D49" s="15" t="s">
        <v>43</v>
      </c>
      <c r="E49" s="13" t="s">
        <v>47</v>
      </c>
      <c r="F49" s="14" t="s">
        <v>3320</v>
      </c>
      <c r="G49" s="14" t="s">
        <v>3321</v>
      </c>
      <c r="H49" s="14" t="s">
        <v>3239</v>
      </c>
      <c r="I49" s="14"/>
      <c r="J49" s="16" t="s">
        <v>51</v>
      </c>
      <c r="K49" s="14" t="s">
        <v>3093</v>
      </c>
    </row>
    <row r="50" spans="1:11" ht="84" customHeight="1">
      <c r="A50" s="13" t="s">
        <v>3322</v>
      </c>
      <c r="B50" s="14" t="s">
        <v>3220</v>
      </c>
      <c r="C50" s="14" t="s">
        <v>3323</v>
      </c>
      <c r="D50" s="15" t="s">
        <v>43</v>
      </c>
      <c r="E50" s="13" t="s">
        <v>45</v>
      </c>
      <c r="F50" s="14" t="s">
        <v>3324</v>
      </c>
      <c r="G50" s="14" t="s">
        <v>3325</v>
      </c>
      <c r="H50" s="14" t="s">
        <v>3326</v>
      </c>
      <c r="I50" s="14"/>
      <c r="J50" s="16" t="s">
        <v>51</v>
      </c>
      <c r="K50" s="14" t="s">
        <v>3093</v>
      </c>
    </row>
    <row r="51" spans="1:11" ht="84" customHeight="1">
      <c r="A51" s="13" t="s">
        <v>3327</v>
      </c>
      <c r="B51" s="14" t="s">
        <v>3220</v>
      </c>
      <c r="C51" s="14" t="s">
        <v>3328</v>
      </c>
      <c r="D51" s="15" t="s">
        <v>43</v>
      </c>
      <c r="E51" s="13" t="s">
        <v>45</v>
      </c>
      <c r="F51" s="14" t="s">
        <v>3329</v>
      </c>
      <c r="G51" s="14" t="s">
        <v>3330</v>
      </c>
      <c r="H51" s="14" t="s">
        <v>3331</v>
      </c>
      <c r="I51" s="14"/>
      <c r="J51" s="16" t="s">
        <v>51</v>
      </c>
      <c r="K51" s="14" t="s">
        <v>3093</v>
      </c>
    </row>
    <row r="52" spans="1:11" ht="84" customHeight="1">
      <c r="A52" s="13" t="s">
        <v>3332</v>
      </c>
      <c r="B52" s="14" t="s">
        <v>3220</v>
      </c>
      <c r="C52" s="14" t="s">
        <v>3333</v>
      </c>
      <c r="D52" s="15" t="s">
        <v>43</v>
      </c>
      <c r="E52" s="13" t="s">
        <v>45</v>
      </c>
      <c r="F52" s="14" t="s">
        <v>3334</v>
      </c>
      <c r="G52" s="14" t="s">
        <v>3335</v>
      </c>
      <c r="H52" s="14" t="s">
        <v>3336</v>
      </c>
      <c r="I52" s="14"/>
      <c r="J52" s="16" t="s">
        <v>51</v>
      </c>
      <c r="K52" s="14" t="s">
        <v>3093</v>
      </c>
    </row>
    <row r="53" spans="1:11" ht="84" customHeight="1">
      <c r="A53" s="13" t="s">
        <v>3337</v>
      </c>
      <c r="B53" s="14" t="s">
        <v>3338</v>
      </c>
      <c r="C53" s="14" t="s">
        <v>3339</v>
      </c>
      <c r="D53" s="15" t="s">
        <v>43</v>
      </c>
      <c r="E53" s="13" t="s">
        <v>45</v>
      </c>
      <c r="F53" s="14" t="s">
        <v>3340</v>
      </c>
      <c r="G53" s="14" t="s">
        <v>2911</v>
      </c>
      <c r="H53" s="14" t="s">
        <v>3341</v>
      </c>
      <c r="I53" s="14"/>
      <c r="J53" s="16" t="s">
        <v>51</v>
      </c>
      <c r="K53" s="14" t="s">
        <v>3093</v>
      </c>
    </row>
    <row r="54" spans="1:11" ht="84" customHeight="1">
      <c r="A54" s="17" t="s">
        <v>3342</v>
      </c>
      <c r="B54" s="18" t="s">
        <v>3338</v>
      </c>
      <c r="C54" s="18" t="s">
        <v>3343</v>
      </c>
      <c r="D54" s="19" t="s">
        <v>44</v>
      </c>
      <c r="E54" s="17" t="s">
        <v>45</v>
      </c>
      <c r="F54" s="18" t="s">
        <v>3344</v>
      </c>
      <c r="G54" s="18" t="s">
        <v>3345</v>
      </c>
      <c r="H54" s="18" t="s">
        <v>3346</v>
      </c>
      <c r="I54" s="18"/>
      <c r="J54" s="16" t="s">
        <v>51</v>
      </c>
      <c r="K54" s="18" t="s">
        <v>3093</v>
      </c>
    </row>
    <row r="55" spans="1:11" ht="84" customHeight="1">
      <c r="A55" s="13" t="s">
        <v>3347</v>
      </c>
      <c r="B55" s="14" t="s">
        <v>3338</v>
      </c>
      <c r="C55" s="14" t="s">
        <v>3348</v>
      </c>
      <c r="D55" s="15" t="s">
        <v>43</v>
      </c>
      <c r="E55" s="13" t="s">
        <v>45</v>
      </c>
      <c r="F55" s="14" t="s">
        <v>3349</v>
      </c>
      <c r="G55" s="14" t="s">
        <v>2941</v>
      </c>
      <c r="H55" s="14" t="s">
        <v>3350</v>
      </c>
      <c r="I55" s="14"/>
      <c r="J55" s="16" t="s">
        <v>51</v>
      </c>
      <c r="K55" s="14" t="s">
        <v>3093</v>
      </c>
    </row>
    <row r="56" spans="1:11" ht="84" customHeight="1">
      <c r="A56" s="17" t="s">
        <v>3351</v>
      </c>
      <c r="B56" s="18" t="s">
        <v>3338</v>
      </c>
      <c r="C56" s="18" t="s">
        <v>3352</v>
      </c>
      <c r="D56" s="19" t="s">
        <v>44</v>
      </c>
      <c r="E56" s="17" t="s">
        <v>46</v>
      </c>
      <c r="F56" s="18" t="s">
        <v>3353</v>
      </c>
      <c r="G56" s="18" t="s">
        <v>3354</v>
      </c>
      <c r="H56" s="18" t="s">
        <v>3355</v>
      </c>
      <c r="I56" s="18"/>
      <c r="J56" s="16" t="s">
        <v>51</v>
      </c>
      <c r="K56" s="18" t="s">
        <v>3093</v>
      </c>
    </row>
    <row r="57" spans="1:11" ht="84" customHeight="1">
      <c r="A57" s="17" t="s">
        <v>3356</v>
      </c>
      <c r="B57" s="18" t="s">
        <v>3338</v>
      </c>
      <c r="C57" s="18" t="s">
        <v>3357</v>
      </c>
      <c r="D57" s="19" t="s">
        <v>44</v>
      </c>
      <c r="E57" s="17" t="s">
        <v>45</v>
      </c>
      <c r="F57" s="18" t="s">
        <v>3358</v>
      </c>
      <c r="G57" s="18" t="s">
        <v>3359</v>
      </c>
      <c r="H57" s="18" t="s">
        <v>3360</v>
      </c>
      <c r="I57" s="18"/>
      <c r="J57" s="16" t="s">
        <v>51</v>
      </c>
      <c r="K57" s="18" t="s">
        <v>3093</v>
      </c>
    </row>
    <row r="58" spans="1:11" ht="84" customHeight="1">
      <c r="A58" s="13" t="s">
        <v>3361</v>
      </c>
      <c r="B58" s="14" t="s">
        <v>3338</v>
      </c>
      <c r="C58" s="14" t="s">
        <v>3362</v>
      </c>
      <c r="D58" s="15" t="s">
        <v>43</v>
      </c>
      <c r="E58" s="13" t="s">
        <v>46</v>
      </c>
      <c r="F58" s="14" t="s">
        <v>3363</v>
      </c>
      <c r="G58" s="14" t="s">
        <v>109</v>
      </c>
      <c r="H58" s="14" t="s">
        <v>3364</v>
      </c>
      <c r="I58" s="14"/>
      <c r="J58" s="16" t="s">
        <v>51</v>
      </c>
      <c r="K58" s="14" t="s">
        <v>3093</v>
      </c>
    </row>
    <row r="59" spans="1:11" ht="84" customHeight="1">
      <c r="A59" s="13" t="s">
        <v>3365</v>
      </c>
      <c r="B59" s="14" t="s">
        <v>3366</v>
      </c>
      <c r="C59" s="14" t="s">
        <v>3367</v>
      </c>
      <c r="D59" s="15" t="s">
        <v>43</v>
      </c>
      <c r="E59" s="13" t="s">
        <v>45</v>
      </c>
      <c r="F59" s="14" t="s">
        <v>3368</v>
      </c>
      <c r="G59" s="14" t="s">
        <v>3369</v>
      </c>
      <c r="H59" s="14" t="s">
        <v>3370</v>
      </c>
      <c r="I59" s="14"/>
      <c r="J59" s="16" t="s">
        <v>51</v>
      </c>
      <c r="K59" s="14" t="s">
        <v>3093</v>
      </c>
    </row>
    <row r="60" spans="1:11" ht="84" customHeight="1">
      <c r="A60" s="13" t="s">
        <v>3371</v>
      </c>
      <c r="B60" s="14" t="s">
        <v>3366</v>
      </c>
      <c r="C60" s="14" t="s">
        <v>3372</v>
      </c>
      <c r="D60" s="15" t="s">
        <v>43</v>
      </c>
      <c r="E60" s="13" t="s">
        <v>45</v>
      </c>
      <c r="F60" s="14" t="s">
        <v>3373</v>
      </c>
      <c r="G60" s="14" t="s">
        <v>109</v>
      </c>
      <c r="H60" s="14" t="s">
        <v>3374</v>
      </c>
      <c r="I60" s="14"/>
      <c r="J60" s="16" t="s">
        <v>51</v>
      </c>
      <c r="K60" s="14" t="s">
        <v>3093</v>
      </c>
    </row>
    <row r="61" spans="1:11" ht="84" customHeight="1">
      <c r="A61" s="17" t="s">
        <v>3375</v>
      </c>
      <c r="B61" s="18" t="s">
        <v>3366</v>
      </c>
      <c r="C61" s="18" t="s">
        <v>3376</v>
      </c>
      <c r="D61" s="19" t="s">
        <v>44</v>
      </c>
      <c r="E61" s="17" t="s">
        <v>45</v>
      </c>
      <c r="F61" s="18" t="s">
        <v>3377</v>
      </c>
      <c r="G61" s="18" t="s">
        <v>3378</v>
      </c>
      <c r="H61" s="18" t="s">
        <v>3379</v>
      </c>
      <c r="I61" s="18"/>
      <c r="J61" s="16" t="s">
        <v>51</v>
      </c>
      <c r="K61" s="18" t="s">
        <v>3093</v>
      </c>
    </row>
    <row r="62" spans="1:11" ht="84" customHeight="1">
      <c r="A62" s="13" t="s">
        <v>3380</v>
      </c>
      <c r="B62" s="14" t="s">
        <v>3366</v>
      </c>
      <c r="C62" s="14" t="s">
        <v>3381</v>
      </c>
      <c r="D62" s="15" t="s">
        <v>43</v>
      </c>
      <c r="E62" s="13" t="s">
        <v>47</v>
      </c>
      <c r="F62" s="14" t="s">
        <v>3382</v>
      </c>
      <c r="G62" s="14" t="s">
        <v>3298</v>
      </c>
      <c r="H62" s="14" t="s">
        <v>3383</v>
      </c>
      <c r="I62" s="14"/>
      <c r="J62" s="16" t="s">
        <v>51</v>
      </c>
      <c r="K62" s="14" t="s">
        <v>3093</v>
      </c>
    </row>
    <row r="63" spans="1:11" ht="84" customHeight="1">
      <c r="A63" s="13" t="s">
        <v>3384</v>
      </c>
      <c r="B63" s="14" t="s">
        <v>3366</v>
      </c>
      <c r="C63" s="14" t="s">
        <v>3385</v>
      </c>
      <c r="D63" s="15" t="s">
        <v>43</v>
      </c>
      <c r="E63" s="13" t="s">
        <v>45</v>
      </c>
      <c r="F63" s="14" t="s">
        <v>3386</v>
      </c>
      <c r="G63" s="14" t="s">
        <v>3387</v>
      </c>
      <c r="H63" s="14" t="s">
        <v>3388</v>
      </c>
      <c r="I63" s="14"/>
      <c r="J63" s="16" t="s">
        <v>51</v>
      </c>
      <c r="K63" s="14" t="s">
        <v>3093</v>
      </c>
    </row>
    <row r="64" spans="1:11" ht="84" customHeight="1">
      <c r="A64" s="13" t="s">
        <v>3389</v>
      </c>
      <c r="B64" s="14" t="s">
        <v>3366</v>
      </c>
      <c r="C64" s="14" t="s">
        <v>3390</v>
      </c>
      <c r="D64" s="15" t="s">
        <v>43</v>
      </c>
      <c r="E64" s="13" t="s">
        <v>46</v>
      </c>
      <c r="F64" s="14" t="s">
        <v>3391</v>
      </c>
      <c r="G64" s="14" t="s">
        <v>3392</v>
      </c>
      <c r="H64" s="14" t="s">
        <v>3393</v>
      </c>
      <c r="I64" s="14"/>
      <c r="J64" s="16" t="s">
        <v>51</v>
      </c>
      <c r="K64" s="14" t="s">
        <v>3093</v>
      </c>
    </row>
    <row r="65" spans="1:11" ht="84" customHeight="1">
      <c r="A65" s="17" t="s">
        <v>3394</v>
      </c>
      <c r="B65" s="18" t="s">
        <v>3366</v>
      </c>
      <c r="C65" s="18" t="s">
        <v>3395</v>
      </c>
      <c r="D65" s="19" t="s">
        <v>44</v>
      </c>
      <c r="E65" s="17" t="s">
        <v>46</v>
      </c>
      <c r="F65" s="18" t="s">
        <v>3396</v>
      </c>
      <c r="G65" s="18" t="s">
        <v>3397</v>
      </c>
      <c r="H65" s="18" t="s">
        <v>3398</v>
      </c>
      <c r="I65" s="18"/>
      <c r="J65" s="16" t="s">
        <v>51</v>
      </c>
      <c r="K65" s="18" t="s">
        <v>3093</v>
      </c>
    </row>
    <row r="66" spans="1:11" ht="84" customHeight="1">
      <c r="A66" s="17" t="s">
        <v>2983</v>
      </c>
      <c r="B66" s="18" t="s">
        <v>2984</v>
      </c>
      <c r="C66" s="18" t="s">
        <v>3399</v>
      </c>
      <c r="D66" s="19" t="s">
        <v>44</v>
      </c>
      <c r="E66" s="17" t="s">
        <v>45</v>
      </c>
      <c r="F66" s="18" t="s">
        <v>3400</v>
      </c>
      <c r="G66" s="18" t="s">
        <v>3401</v>
      </c>
      <c r="H66" s="18" t="s">
        <v>3402</v>
      </c>
      <c r="I66" s="18"/>
      <c r="J66" s="16" t="s">
        <v>51</v>
      </c>
      <c r="K66" s="18" t="s">
        <v>3093</v>
      </c>
    </row>
    <row r="67" spans="1:11" ht="84" customHeight="1">
      <c r="A67" s="17" t="s">
        <v>2989</v>
      </c>
      <c r="B67" s="18" t="s">
        <v>2984</v>
      </c>
      <c r="C67" s="18" t="s">
        <v>3403</v>
      </c>
      <c r="D67" s="19" t="s">
        <v>44</v>
      </c>
      <c r="E67" s="17" t="s">
        <v>45</v>
      </c>
      <c r="F67" s="18" t="s">
        <v>3404</v>
      </c>
      <c r="G67" s="18" t="s">
        <v>3203</v>
      </c>
      <c r="H67" s="18" t="s">
        <v>3405</v>
      </c>
      <c r="I67" s="18"/>
      <c r="J67" s="16" t="s">
        <v>51</v>
      </c>
      <c r="K67" s="18" t="s">
        <v>3093</v>
      </c>
    </row>
    <row r="68" spans="1:11" ht="84" customHeight="1">
      <c r="A68" s="17" t="s">
        <v>2994</v>
      </c>
      <c r="B68" s="18" t="s">
        <v>2984</v>
      </c>
      <c r="C68" s="18" t="s">
        <v>3406</v>
      </c>
      <c r="D68" s="19" t="s">
        <v>44</v>
      </c>
      <c r="E68" s="17" t="s">
        <v>45</v>
      </c>
      <c r="F68" s="18" t="s">
        <v>3407</v>
      </c>
      <c r="G68" s="18" t="s">
        <v>3408</v>
      </c>
      <c r="H68" s="18" t="s">
        <v>3409</v>
      </c>
      <c r="I68" s="18"/>
      <c r="J68" s="16" t="s">
        <v>51</v>
      </c>
      <c r="K68" s="18" t="s">
        <v>3093</v>
      </c>
    </row>
    <row r="69" spans="1:11" ht="84" customHeight="1">
      <c r="A69" s="17" t="s">
        <v>2999</v>
      </c>
      <c r="B69" s="18" t="s">
        <v>2984</v>
      </c>
      <c r="C69" s="18" t="s">
        <v>3410</v>
      </c>
      <c r="D69" s="19" t="s">
        <v>44</v>
      </c>
      <c r="E69" s="17" t="s">
        <v>46</v>
      </c>
      <c r="F69" s="18" t="s">
        <v>3411</v>
      </c>
      <c r="G69" s="18" t="s">
        <v>3412</v>
      </c>
      <c r="H69" s="18" t="s">
        <v>3413</v>
      </c>
      <c r="I69" s="18"/>
      <c r="J69" s="16" t="s">
        <v>51</v>
      </c>
      <c r="K69" s="18" t="s">
        <v>3093</v>
      </c>
    </row>
    <row r="70" spans="1:11" ht="84" customHeight="1">
      <c r="A70" s="17" t="s">
        <v>3005</v>
      </c>
      <c r="B70" s="18" t="s">
        <v>2984</v>
      </c>
      <c r="C70" s="18" t="s">
        <v>3414</v>
      </c>
      <c r="D70" s="19" t="s">
        <v>44</v>
      </c>
      <c r="E70" s="17" t="s">
        <v>46</v>
      </c>
      <c r="F70" s="18" t="s">
        <v>3415</v>
      </c>
      <c r="G70" s="18" t="s">
        <v>3416</v>
      </c>
      <c r="H70" s="18" t="s">
        <v>3417</v>
      </c>
      <c r="I70" s="18"/>
      <c r="J70" s="16" t="s">
        <v>51</v>
      </c>
      <c r="K70" s="18" t="s">
        <v>3093</v>
      </c>
    </row>
    <row r="71" spans="1:11" ht="84" customHeight="1">
      <c r="A71" s="13" t="s">
        <v>3418</v>
      </c>
      <c r="B71" s="14" t="s">
        <v>2984</v>
      </c>
      <c r="C71" s="14" t="s">
        <v>3419</v>
      </c>
      <c r="D71" s="15" t="s">
        <v>43</v>
      </c>
      <c r="E71" s="13" t="s">
        <v>46</v>
      </c>
      <c r="F71" s="14" t="s">
        <v>3420</v>
      </c>
      <c r="G71" s="14" t="s">
        <v>3421</v>
      </c>
      <c r="H71" s="14" t="s">
        <v>3422</v>
      </c>
      <c r="I71" s="14"/>
      <c r="J71" s="16" t="s">
        <v>51</v>
      </c>
      <c r="K71" s="14" t="s">
        <v>3093</v>
      </c>
    </row>
    <row r="72" spans="1:11" ht="111.75" customHeight="1">
      <c r="A72" s="13" t="s">
        <v>2959</v>
      </c>
      <c r="B72" s="14" t="s">
        <v>2960</v>
      </c>
      <c r="C72" s="14" t="s">
        <v>3423</v>
      </c>
      <c r="D72" s="15" t="s">
        <v>43</v>
      </c>
      <c r="E72" s="13" t="s">
        <v>45</v>
      </c>
      <c r="F72" s="14" t="s">
        <v>3424</v>
      </c>
      <c r="G72" s="14" t="s">
        <v>3425</v>
      </c>
      <c r="H72" s="14" t="s">
        <v>3426</v>
      </c>
      <c r="I72" s="14"/>
      <c r="J72" s="16" t="s">
        <v>51</v>
      </c>
      <c r="K72" s="14" t="s">
        <v>3093</v>
      </c>
    </row>
    <row r="73" spans="1:11" ht="84" customHeight="1">
      <c r="A73" s="13" t="s">
        <v>2965</v>
      </c>
      <c r="B73" s="14" t="s">
        <v>2960</v>
      </c>
      <c r="C73" s="14" t="s">
        <v>3427</v>
      </c>
      <c r="D73" s="15" t="s">
        <v>43</v>
      </c>
      <c r="E73" s="13" t="s">
        <v>46</v>
      </c>
      <c r="F73" s="14" t="s">
        <v>3428</v>
      </c>
      <c r="G73" s="14" t="s">
        <v>109</v>
      </c>
      <c r="H73" s="14" t="s">
        <v>3429</v>
      </c>
      <c r="I73" s="14"/>
      <c r="J73" s="16" t="s">
        <v>51</v>
      </c>
      <c r="K73" s="14" t="s">
        <v>3093</v>
      </c>
    </row>
    <row r="74" spans="1:11" ht="84" customHeight="1">
      <c r="A74" s="13" t="s">
        <v>2970</v>
      </c>
      <c r="B74" s="14" t="s">
        <v>2960</v>
      </c>
      <c r="C74" s="14" t="s">
        <v>3430</v>
      </c>
      <c r="D74" s="15" t="s">
        <v>43</v>
      </c>
      <c r="E74" s="13" t="s">
        <v>45</v>
      </c>
      <c r="F74" s="14" t="s">
        <v>3431</v>
      </c>
      <c r="G74" s="14" t="s">
        <v>3432</v>
      </c>
      <c r="H74" s="14" t="s">
        <v>3433</v>
      </c>
      <c r="I74" s="14"/>
      <c r="J74" s="16" t="s">
        <v>51</v>
      </c>
      <c r="K74" s="14" t="s">
        <v>3093</v>
      </c>
    </row>
    <row r="75" spans="1:11" ht="84" customHeight="1">
      <c r="A75" s="17" t="s">
        <v>2975</v>
      </c>
      <c r="B75" s="18" t="s">
        <v>2960</v>
      </c>
      <c r="C75" s="18" t="s">
        <v>3434</v>
      </c>
      <c r="D75" s="19" t="s">
        <v>44</v>
      </c>
      <c r="E75" s="17" t="s">
        <v>45</v>
      </c>
      <c r="F75" s="18" t="s">
        <v>3435</v>
      </c>
      <c r="G75" s="18" t="s">
        <v>3436</v>
      </c>
      <c r="H75" s="18" t="s">
        <v>3437</v>
      </c>
      <c r="I75" s="18"/>
      <c r="J75" s="16" t="s">
        <v>51</v>
      </c>
      <c r="K75" s="18" t="s">
        <v>3093</v>
      </c>
    </row>
  </sheetData>
  <autoFilter ref="A1:K75" xr:uid="{00000000-0009-0000-0000-000008000000}"/>
  <dataValidations count="3">
    <dataValidation type="list" allowBlank="1" sqref="D2:D75" xr:uid="{00000000-0002-0000-0800-000000000000}">
      <formula1>"Positive,Negative,Functional - Positive,Functional - Negative,Validation - Positive,Validation - Negative,Defect - Functional,Defect - Validation"</formula1>
      <formula2>0</formula2>
    </dataValidation>
    <dataValidation type="list" allowBlank="1" sqref="E2:E75" xr:uid="{00000000-0002-0000-0800-000001000000}">
      <formula1>"High,Medium,Low"</formula1>
      <formula2>0</formula2>
    </dataValidation>
    <dataValidation type="list" allowBlank="1" sqref="J2:J75" xr:uid="{00000000-0002-0000-08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32"/>
  <sheetViews>
    <sheetView zoomScaleNormal="100" workbookViewId="0"/>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s="20" customFormat="1" ht="55.5" customHeight="1">
      <c r="A2" s="13" t="s">
        <v>3438</v>
      </c>
      <c r="B2" s="14" t="s">
        <v>3439</v>
      </c>
      <c r="C2" s="14" t="s">
        <v>3440</v>
      </c>
      <c r="D2" s="15" t="s">
        <v>28</v>
      </c>
      <c r="E2" s="13" t="s">
        <v>45</v>
      </c>
      <c r="F2" s="14" t="s">
        <v>3441</v>
      </c>
      <c r="G2" s="14" t="s">
        <v>3442</v>
      </c>
      <c r="H2" s="14" t="s">
        <v>3443</v>
      </c>
      <c r="I2" s="14"/>
      <c r="J2" s="16" t="s">
        <v>51</v>
      </c>
      <c r="K2" s="14"/>
    </row>
    <row r="3" spans="1:11" s="20" customFormat="1" ht="27.75" customHeight="1">
      <c r="A3" s="13" t="s">
        <v>3444</v>
      </c>
      <c r="B3" s="14" t="s">
        <v>3439</v>
      </c>
      <c r="C3" s="14" t="s">
        <v>3445</v>
      </c>
      <c r="D3" s="15" t="s">
        <v>28</v>
      </c>
      <c r="E3" s="13" t="s">
        <v>46</v>
      </c>
      <c r="F3" s="14" t="s">
        <v>3446</v>
      </c>
      <c r="G3" s="14" t="s">
        <v>109</v>
      </c>
      <c r="H3" s="14" t="s">
        <v>3447</v>
      </c>
      <c r="I3" s="14"/>
      <c r="J3" s="16" t="s">
        <v>51</v>
      </c>
      <c r="K3" s="14"/>
    </row>
    <row r="4" spans="1:11" s="20" customFormat="1" ht="42" customHeight="1">
      <c r="A4" s="13" t="s">
        <v>3448</v>
      </c>
      <c r="B4" s="14" t="s">
        <v>3439</v>
      </c>
      <c r="C4" s="14" t="s">
        <v>3449</v>
      </c>
      <c r="D4" s="15" t="s">
        <v>28</v>
      </c>
      <c r="E4" s="13" t="s">
        <v>45</v>
      </c>
      <c r="F4" s="14" t="s">
        <v>3450</v>
      </c>
      <c r="G4" s="14" t="s">
        <v>3451</v>
      </c>
      <c r="H4" s="14" t="s">
        <v>3452</v>
      </c>
      <c r="I4" s="14"/>
      <c r="J4" s="16" t="s">
        <v>51</v>
      </c>
      <c r="K4" s="14"/>
    </row>
    <row r="5" spans="1:11" s="20" customFormat="1" ht="27.75" customHeight="1">
      <c r="A5" s="13" t="s">
        <v>3453</v>
      </c>
      <c r="B5" s="14" t="s">
        <v>3439</v>
      </c>
      <c r="C5" s="14" t="s">
        <v>3454</v>
      </c>
      <c r="D5" s="15" t="s">
        <v>28</v>
      </c>
      <c r="E5" s="13" t="s">
        <v>45</v>
      </c>
      <c r="F5" s="14" t="s">
        <v>3455</v>
      </c>
      <c r="G5" s="14" t="s">
        <v>3456</v>
      </c>
      <c r="H5" s="14" t="s">
        <v>3457</v>
      </c>
      <c r="I5" s="14"/>
      <c r="J5" s="16" t="s">
        <v>51</v>
      </c>
      <c r="K5" s="14"/>
    </row>
    <row r="6" spans="1:11" s="20" customFormat="1" ht="27.75" customHeight="1">
      <c r="A6" s="13" t="s">
        <v>3458</v>
      </c>
      <c r="B6" s="14" t="s">
        <v>3439</v>
      </c>
      <c r="C6" s="14" t="s">
        <v>3459</v>
      </c>
      <c r="D6" s="15" t="s">
        <v>28</v>
      </c>
      <c r="E6" s="13" t="s">
        <v>45</v>
      </c>
      <c r="F6" s="14" t="s">
        <v>3460</v>
      </c>
      <c r="G6" s="14" t="s">
        <v>3461</v>
      </c>
      <c r="H6" s="14" t="s">
        <v>3462</v>
      </c>
      <c r="I6" s="14"/>
      <c r="J6" s="16" t="s">
        <v>51</v>
      </c>
      <c r="K6" s="14"/>
    </row>
    <row r="7" spans="1:11" s="20" customFormat="1" ht="42" customHeight="1">
      <c r="A7" s="13" t="s">
        <v>3463</v>
      </c>
      <c r="B7" s="14" t="s">
        <v>3439</v>
      </c>
      <c r="C7" s="14" t="s">
        <v>3464</v>
      </c>
      <c r="D7" s="15" t="s">
        <v>28</v>
      </c>
      <c r="E7" s="13" t="s">
        <v>45</v>
      </c>
      <c r="F7" s="14" t="s">
        <v>3465</v>
      </c>
      <c r="G7" s="14" t="s">
        <v>3466</v>
      </c>
      <c r="H7" s="14" t="s">
        <v>3467</v>
      </c>
      <c r="I7" s="14"/>
      <c r="J7" s="16" t="s">
        <v>51</v>
      </c>
      <c r="K7" s="14"/>
    </row>
    <row r="8" spans="1:11" s="20" customFormat="1" ht="55.5" customHeight="1">
      <c r="A8" s="13" t="s">
        <v>3468</v>
      </c>
      <c r="B8" s="14" t="s">
        <v>3439</v>
      </c>
      <c r="C8" s="14" t="s">
        <v>3469</v>
      </c>
      <c r="D8" s="15" t="s">
        <v>28</v>
      </c>
      <c r="E8" s="13" t="s">
        <v>46</v>
      </c>
      <c r="F8" s="14" t="s">
        <v>3470</v>
      </c>
      <c r="G8" s="14" t="s">
        <v>3471</v>
      </c>
      <c r="H8" s="14" t="s">
        <v>3472</v>
      </c>
      <c r="I8" s="14"/>
      <c r="J8" s="16" t="s">
        <v>51</v>
      </c>
      <c r="K8" s="14"/>
    </row>
    <row r="9" spans="1:11" s="20" customFormat="1" ht="42" customHeight="1">
      <c r="A9" s="13" t="s">
        <v>3473</v>
      </c>
      <c r="B9" s="14" t="s">
        <v>3439</v>
      </c>
      <c r="C9" s="14" t="s">
        <v>3474</v>
      </c>
      <c r="D9" s="15" t="s">
        <v>28</v>
      </c>
      <c r="E9" s="13" t="s">
        <v>45</v>
      </c>
      <c r="F9" s="14" t="s">
        <v>3475</v>
      </c>
      <c r="G9" s="14" t="s">
        <v>3476</v>
      </c>
      <c r="H9" s="14" t="s">
        <v>3477</v>
      </c>
      <c r="I9" s="14"/>
      <c r="J9" s="16" t="s">
        <v>51</v>
      </c>
      <c r="K9" s="14"/>
    </row>
    <row r="10" spans="1:11" s="20" customFormat="1" ht="42" customHeight="1">
      <c r="A10" s="13" t="s">
        <v>3478</v>
      </c>
      <c r="B10" s="14" t="s">
        <v>3439</v>
      </c>
      <c r="C10" s="14" t="s">
        <v>3479</v>
      </c>
      <c r="D10" s="15" t="s">
        <v>28</v>
      </c>
      <c r="E10" s="13" t="s">
        <v>46</v>
      </c>
      <c r="F10" s="14" t="s">
        <v>3480</v>
      </c>
      <c r="G10" s="14" t="s">
        <v>3481</v>
      </c>
      <c r="H10" s="14" t="s">
        <v>3482</v>
      </c>
      <c r="I10" s="14"/>
      <c r="J10" s="16" t="s">
        <v>51</v>
      </c>
      <c r="K10" s="14"/>
    </row>
    <row r="11" spans="1:11" s="20" customFormat="1" ht="42" customHeight="1">
      <c r="A11" s="13" t="s">
        <v>3483</v>
      </c>
      <c r="B11" s="14" t="s">
        <v>3439</v>
      </c>
      <c r="C11" s="14" t="s">
        <v>3484</v>
      </c>
      <c r="D11" s="15" t="s">
        <v>28</v>
      </c>
      <c r="E11" s="13" t="s">
        <v>46</v>
      </c>
      <c r="F11" s="14" t="s">
        <v>3485</v>
      </c>
      <c r="G11" s="14" t="s">
        <v>109</v>
      </c>
      <c r="H11" s="14" t="s">
        <v>3486</v>
      </c>
      <c r="I11" s="14"/>
      <c r="J11" s="16" t="s">
        <v>51</v>
      </c>
      <c r="K11" s="14"/>
    </row>
    <row r="12" spans="1:11" s="21" customFormat="1" ht="42" customHeight="1">
      <c r="A12" s="17" t="s">
        <v>3487</v>
      </c>
      <c r="B12" s="18" t="s">
        <v>3439</v>
      </c>
      <c r="C12" s="18" t="s">
        <v>3488</v>
      </c>
      <c r="D12" s="19" t="s">
        <v>31</v>
      </c>
      <c r="E12" s="17" t="s">
        <v>46</v>
      </c>
      <c r="F12" s="18" t="s">
        <v>3489</v>
      </c>
      <c r="G12" s="18" t="s">
        <v>3490</v>
      </c>
      <c r="H12" s="18" t="s">
        <v>3491</v>
      </c>
      <c r="I12" s="18"/>
      <c r="J12" s="16" t="s">
        <v>51</v>
      </c>
      <c r="K12" s="18"/>
    </row>
    <row r="13" spans="1:11" s="20" customFormat="1" ht="27.75" customHeight="1">
      <c r="A13" s="13" t="s">
        <v>3492</v>
      </c>
      <c r="B13" s="14" t="s">
        <v>3439</v>
      </c>
      <c r="C13" s="14" t="s">
        <v>3493</v>
      </c>
      <c r="D13" s="15" t="s">
        <v>30</v>
      </c>
      <c r="E13" s="13" t="s">
        <v>47</v>
      </c>
      <c r="F13" s="14" t="s">
        <v>3494</v>
      </c>
      <c r="G13" s="14" t="s">
        <v>109</v>
      </c>
      <c r="H13" s="14" t="s">
        <v>3495</v>
      </c>
      <c r="I13" s="14"/>
      <c r="J13" s="16" t="s">
        <v>51</v>
      </c>
      <c r="K13" s="14"/>
    </row>
    <row r="14" spans="1:11" s="21" customFormat="1" ht="42" customHeight="1">
      <c r="A14" s="17" t="s">
        <v>3496</v>
      </c>
      <c r="B14" s="18" t="s">
        <v>3439</v>
      </c>
      <c r="C14" s="18" t="s">
        <v>3497</v>
      </c>
      <c r="D14" s="19" t="s">
        <v>31</v>
      </c>
      <c r="E14" s="17" t="s">
        <v>46</v>
      </c>
      <c r="F14" s="18" t="s">
        <v>3498</v>
      </c>
      <c r="G14" s="18" t="s">
        <v>3499</v>
      </c>
      <c r="H14" s="18" t="s">
        <v>3500</v>
      </c>
      <c r="I14" s="18"/>
      <c r="J14" s="16" t="s">
        <v>51</v>
      </c>
      <c r="K14" s="18"/>
    </row>
    <row r="15" spans="1:11" s="20" customFormat="1" ht="42" customHeight="1">
      <c r="A15" s="13" t="s">
        <v>3501</v>
      </c>
      <c r="B15" s="14" t="s">
        <v>3439</v>
      </c>
      <c r="C15" s="14" t="s">
        <v>3502</v>
      </c>
      <c r="D15" s="15" t="s">
        <v>30</v>
      </c>
      <c r="E15" s="13" t="s">
        <v>47</v>
      </c>
      <c r="F15" s="14" t="s">
        <v>3503</v>
      </c>
      <c r="G15" s="14" t="s">
        <v>3504</v>
      </c>
      <c r="H15" s="14" t="s">
        <v>3505</v>
      </c>
      <c r="I15" s="14"/>
      <c r="J15" s="16" t="s">
        <v>51</v>
      </c>
      <c r="K15" s="14"/>
    </row>
    <row r="16" spans="1:11" s="20" customFormat="1" ht="42" customHeight="1">
      <c r="A16" s="13" t="s">
        <v>3506</v>
      </c>
      <c r="B16" s="14" t="s">
        <v>3507</v>
      </c>
      <c r="C16" s="14" t="s">
        <v>3508</v>
      </c>
      <c r="D16" s="15" t="s">
        <v>28</v>
      </c>
      <c r="E16" s="13" t="s">
        <v>45</v>
      </c>
      <c r="F16" s="14" t="s">
        <v>3509</v>
      </c>
      <c r="G16" s="14" t="s">
        <v>109</v>
      </c>
      <c r="H16" s="14" t="s">
        <v>3510</v>
      </c>
      <c r="I16" s="14"/>
      <c r="J16" s="16" t="s">
        <v>51</v>
      </c>
      <c r="K16" s="14"/>
    </row>
    <row r="17" spans="1:11" s="20" customFormat="1" ht="111.75" customHeight="1">
      <c r="A17" s="13" t="s">
        <v>3511</v>
      </c>
      <c r="B17" s="14" t="s">
        <v>3507</v>
      </c>
      <c r="C17" s="14" t="s">
        <v>3512</v>
      </c>
      <c r="D17" s="15" t="s">
        <v>28</v>
      </c>
      <c r="E17" s="13" t="s">
        <v>46</v>
      </c>
      <c r="F17" s="14" t="s">
        <v>3513</v>
      </c>
      <c r="G17" s="14" t="s">
        <v>109</v>
      </c>
      <c r="H17" s="14" t="s">
        <v>3514</v>
      </c>
      <c r="I17" s="14"/>
      <c r="J17" s="16" t="s">
        <v>51</v>
      </c>
      <c r="K17" s="14"/>
    </row>
    <row r="18" spans="1:11" s="20" customFormat="1" ht="27.75" customHeight="1">
      <c r="A18" s="13" t="s">
        <v>3515</v>
      </c>
      <c r="B18" s="14" t="s">
        <v>3507</v>
      </c>
      <c r="C18" s="14" t="s">
        <v>3516</v>
      </c>
      <c r="D18" s="15" t="s">
        <v>28</v>
      </c>
      <c r="E18" s="13" t="s">
        <v>46</v>
      </c>
      <c r="F18" s="14" t="s">
        <v>3517</v>
      </c>
      <c r="G18" s="14" t="s">
        <v>3518</v>
      </c>
      <c r="H18" s="14" t="s">
        <v>3519</v>
      </c>
      <c r="I18" s="14"/>
      <c r="J18" s="16" t="s">
        <v>51</v>
      </c>
      <c r="K18" s="14"/>
    </row>
    <row r="19" spans="1:11" s="20" customFormat="1" ht="42" customHeight="1">
      <c r="A19" s="13" t="s">
        <v>3520</v>
      </c>
      <c r="B19" s="14" t="s">
        <v>3507</v>
      </c>
      <c r="C19" s="14" t="s">
        <v>3521</v>
      </c>
      <c r="D19" s="15" t="s">
        <v>28</v>
      </c>
      <c r="E19" s="13" t="s">
        <v>45</v>
      </c>
      <c r="F19" s="14" t="s">
        <v>3522</v>
      </c>
      <c r="G19" s="14" t="s">
        <v>3523</v>
      </c>
      <c r="H19" s="14" t="s">
        <v>3524</v>
      </c>
      <c r="I19" s="14"/>
      <c r="J19" s="16" t="s">
        <v>51</v>
      </c>
      <c r="K19" s="14"/>
    </row>
    <row r="20" spans="1:11" s="20" customFormat="1" ht="27.75" customHeight="1">
      <c r="A20" s="13" t="s">
        <v>3525</v>
      </c>
      <c r="B20" s="14" t="s">
        <v>3507</v>
      </c>
      <c r="C20" s="14" t="s">
        <v>3526</v>
      </c>
      <c r="D20" s="15" t="s">
        <v>28</v>
      </c>
      <c r="E20" s="13" t="s">
        <v>46</v>
      </c>
      <c r="F20" s="14" t="s">
        <v>3527</v>
      </c>
      <c r="G20" s="14" t="s">
        <v>3528</v>
      </c>
      <c r="H20" s="14" t="s">
        <v>3529</v>
      </c>
      <c r="I20" s="14"/>
      <c r="J20" s="16" t="s">
        <v>51</v>
      </c>
      <c r="K20" s="14"/>
    </row>
    <row r="21" spans="1:11" s="20" customFormat="1" ht="27.75" customHeight="1">
      <c r="A21" s="13" t="s">
        <v>3530</v>
      </c>
      <c r="B21" s="14" t="s">
        <v>3507</v>
      </c>
      <c r="C21" s="14" t="s">
        <v>3531</v>
      </c>
      <c r="D21" s="15" t="s">
        <v>28</v>
      </c>
      <c r="E21" s="13" t="s">
        <v>45</v>
      </c>
      <c r="F21" s="14" t="s">
        <v>3532</v>
      </c>
      <c r="G21" s="14" t="s">
        <v>3533</v>
      </c>
      <c r="H21" s="14" t="s">
        <v>3534</v>
      </c>
      <c r="I21" s="14"/>
      <c r="J21" s="16" t="s">
        <v>51</v>
      </c>
      <c r="K21" s="14"/>
    </row>
    <row r="22" spans="1:11" s="21" customFormat="1" ht="27.75" customHeight="1">
      <c r="A22" s="17" t="s">
        <v>3535</v>
      </c>
      <c r="B22" s="18" t="s">
        <v>3507</v>
      </c>
      <c r="C22" s="18" t="s">
        <v>3536</v>
      </c>
      <c r="D22" s="19" t="s">
        <v>31</v>
      </c>
      <c r="E22" s="17" t="s">
        <v>46</v>
      </c>
      <c r="F22" s="18" t="s">
        <v>3537</v>
      </c>
      <c r="G22" s="18" t="s">
        <v>3538</v>
      </c>
      <c r="H22" s="18" t="s">
        <v>3539</v>
      </c>
      <c r="I22" s="18"/>
      <c r="J22" s="16" t="s">
        <v>51</v>
      </c>
      <c r="K22" s="18"/>
    </row>
    <row r="23" spans="1:11" s="21" customFormat="1" ht="27.75" customHeight="1">
      <c r="A23" s="17" t="s">
        <v>3540</v>
      </c>
      <c r="B23" s="18" t="s">
        <v>3507</v>
      </c>
      <c r="C23" s="18" t="s">
        <v>3541</v>
      </c>
      <c r="D23" s="19" t="s">
        <v>31</v>
      </c>
      <c r="E23" s="17" t="s">
        <v>46</v>
      </c>
      <c r="F23" s="18" t="s">
        <v>3542</v>
      </c>
      <c r="G23" s="18" t="s">
        <v>3543</v>
      </c>
      <c r="H23" s="18" t="s">
        <v>3544</v>
      </c>
      <c r="I23" s="18"/>
      <c r="J23" s="16" t="s">
        <v>51</v>
      </c>
      <c r="K23" s="18"/>
    </row>
    <row r="24" spans="1:11" s="21" customFormat="1" ht="27.75" customHeight="1">
      <c r="A24" s="17" t="s">
        <v>3545</v>
      </c>
      <c r="B24" s="18" t="s">
        <v>3507</v>
      </c>
      <c r="C24" s="18" t="s">
        <v>3546</v>
      </c>
      <c r="D24" s="19" t="s">
        <v>31</v>
      </c>
      <c r="E24" s="17" t="s">
        <v>47</v>
      </c>
      <c r="F24" s="18" t="s">
        <v>3547</v>
      </c>
      <c r="G24" s="18" t="s">
        <v>3548</v>
      </c>
      <c r="H24" s="18" t="s">
        <v>3549</v>
      </c>
      <c r="I24" s="18"/>
      <c r="J24" s="16" t="s">
        <v>51</v>
      </c>
      <c r="K24" s="18"/>
    </row>
    <row r="25" spans="1:11" s="21" customFormat="1" ht="27.75" customHeight="1">
      <c r="A25" s="17" t="s">
        <v>3550</v>
      </c>
      <c r="B25" s="18" t="s">
        <v>3507</v>
      </c>
      <c r="C25" s="18" t="s">
        <v>3551</v>
      </c>
      <c r="D25" s="19" t="s">
        <v>31</v>
      </c>
      <c r="E25" s="17" t="s">
        <v>47</v>
      </c>
      <c r="F25" s="18" t="s">
        <v>3552</v>
      </c>
      <c r="G25" s="18" t="s">
        <v>3553</v>
      </c>
      <c r="H25" s="18" t="s">
        <v>3554</v>
      </c>
      <c r="I25" s="18"/>
      <c r="J25" s="16" t="s">
        <v>51</v>
      </c>
      <c r="K25" s="18"/>
    </row>
    <row r="26" spans="1:11" s="20" customFormat="1" ht="42" customHeight="1">
      <c r="A26" s="13" t="s">
        <v>3555</v>
      </c>
      <c r="B26" s="14" t="s">
        <v>3507</v>
      </c>
      <c r="C26" s="14" t="s">
        <v>3556</v>
      </c>
      <c r="D26" s="15" t="s">
        <v>28</v>
      </c>
      <c r="E26" s="13" t="s">
        <v>45</v>
      </c>
      <c r="F26" s="14" t="s">
        <v>3557</v>
      </c>
      <c r="G26" s="14" t="s">
        <v>3558</v>
      </c>
      <c r="H26" s="14" t="s">
        <v>3559</v>
      </c>
      <c r="I26" s="14"/>
      <c r="J26" s="16" t="s">
        <v>51</v>
      </c>
      <c r="K26" s="14"/>
    </row>
    <row r="27" spans="1:11" s="20" customFormat="1" ht="55.5" customHeight="1">
      <c r="A27" s="13" t="s">
        <v>3560</v>
      </c>
      <c r="B27" s="14" t="s">
        <v>3507</v>
      </c>
      <c r="C27" s="14" t="s">
        <v>3561</v>
      </c>
      <c r="D27" s="15" t="s">
        <v>30</v>
      </c>
      <c r="E27" s="13" t="s">
        <v>46</v>
      </c>
      <c r="F27" s="14" t="s">
        <v>3562</v>
      </c>
      <c r="G27" s="14" t="s">
        <v>109</v>
      </c>
      <c r="H27" s="14" t="s">
        <v>3563</v>
      </c>
      <c r="I27" s="14"/>
      <c r="J27" s="16" t="s">
        <v>51</v>
      </c>
      <c r="K27" s="14"/>
    </row>
    <row r="28" spans="1:11" s="20" customFormat="1" ht="42" customHeight="1">
      <c r="A28" s="13" t="s">
        <v>3564</v>
      </c>
      <c r="B28" s="14" t="s">
        <v>3507</v>
      </c>
      <c r="C28" s="14" t="s">
        <v>3565</v>
      </c>
      <c r="D28" s="15" t="s">
        <v>28</v>
      </c>
      <c r="E28" s="13" t="s">
        <v>46</v>
      </c>
      <c r="F28" s="14" t="s">
        <v>3566</v>
      </c>
      <c r="G28" s="14" t="s">
        <v>3567</v>
      </c>
      <c r="H28" s="14" t="s">
        <v>3568</v>
      </c>
      <c r="I28" s="14"/>
      <c r="J28" s="16" t="s">
        <v>51</v>
      </c>
      <c r="K28" s="14"/>
    </row>
    <row r="29" spans="1:11" s="20" customFormat="1" ht="42" customHeight="1">
      <c r="A29" s="13" t="s">
        <v>3569</v>
      </c>
      <c r="B29" s="14" t="s">
        <v>3507</v>
      </c>
      <c r="C29" s="14" t="s">
        <v>3570</v>
      </c>
      <c r="D29" s="15" t="s">
        <v>30</v>
      </c>
      <c r="E29" s="13" t="s">
        <v>46</v>
      </c>
      <c r="F29" s="14" t="s">
        <v>3571</v>
      </c>
      <c r="G29" s="14" t="s">
        <v>109</v>
      </c>
      <c r="H29" s="14" t="s">
        <v>3572</v>
      </c>
      <c r="I29" s="14"/>
      <c r="J29" s="16" t="s">
        <v>51</v>
      </c>
      <c r="K29" s="14"/>
    </row>
    <row r="30" spans="1:11" s="20" customFormat="1" ht="55.5" customHeight="1">
      <c r="A30" s="13" t="s">
        <v>3573</v>
      </c>
      <c r="B30" s="14" t="s">
        <v>3507</v>
      </c>
      <c r="C30" s="14" t="s">
        <v>3574</v>
      </c>
      <c r="D30" s="15" t="s">
        <v>30</v>
      </c>
      <c r="E30" s="13" t="s">
        <v>45</v>
      </c>
      <c r="F30" s="14" t="s">
        <v>3575</v>
      </c>
      <c r="G30" s="14" t="s">
        <v>3576</v>
      </c>
      <c r="H30" s="14" t="s">
        <v>3577</v>
      </c>
      <c r="I30" s="14"/>
      <c r="J30" s="16" t="s">
        <v>51</v>
      </c>
      <c r="K30" s="14"/>
    </row>
    <row r="31" spans="1:11" s="20" customFormat="1" ht="27.75" customHeight="1">
      <c r="A31" s="13" t="s">
        <v>3578</v>
      </c>
      <c r="B31" s="14" t="s">
        <v>3507</v>
      </c>
      <c r="C31" s="14" t="s">
        <v>3579</v>
      </c>
      <c r="D31" s="15" t="s">
        <v>30</v>
      </c>
      <c r="E31" s="13" t="s">
        <v>47</v>
      </c>
      <c r="F31" s="14" t="s">
        <v>3580</v>
      </c>
      <c r="G31" s="14" t="s">
        <v>109</v>
      </c>
      <c r="H31" s="14" t="s">
        <v>3581</v>
      </c>
      <c r="I31" s="14"/>
      <c r="J31" s="16" t="s">
        <v>51</v>
      </c>
      <c r="K31" s="14"/>
    </row>
    <row r="32" spans="1:11" s="21" customFormat="1" ht="27.75" customHeight="1">
      <c r="A32" s="17" t="s">
        <v>3582</v>
      </c>
      <c r="B32" s="18" t="s">
        <v>3507</v>
      </c>
      <c r="C32" s="18" t="s">
        <v>3583</v>
      </c>
      <c r="D32" s="19" t="s">
        <v>31</v>
      </c>
      <c r="E32" s="17" t="s">
        <v>47</v>
      </c>
      <c r="F32" s="18" t="s">
        <v>3584</v>
      </c>
      <c r="G32" s="18" t="s">
        <v>3523</v>
      </c>
      <c r="H32" s="18" t="s">
        <v>3585</v>
      </c>
      <c r="I32" s="18"/>
      <c r="J32" s="16" t="s">
        <v>51</v>
      </c>
      <c r="K32" s="18"/>
    </row>
    <row r="33" spans="1:11" s="20" customFormat="1" ht="42" customHeight="1">
      <c r="A33" s="13" t="s">
        <v>3586</v>
      </c>
      <c r="B33" s="14" t="s">
        <v>3587</v>
      </c>
      <c r="C33" s="14" t="s">
        <v>3588</v>
      </c>
      <c r="D33" s="15" t="s">
        <v>28</v>
      </c>
      <c r="E33" s="13" t="s">
        <v>45</v>
      </c>
      <c r="F33" s="14" t="s">
        <v>3589</v>
      </c>
      <c r="G33" s="14" t="s">
        <v>109</v>
      </c>
      <c r="H33" s="14" t="s">
        <v>3590</v>
      </c>
      <c r="I33" s="14"/>
      <c r="J33" s="16" t="s">
        <v>51</v>
      </c>
      <c r="K33" s="14"/>
    </row>
    <row r="34" spans="1:11" s="20" customFormat="1" ht="27.75" customHeight="1">
      <c r="A34" s="13" t="s">
        <v>3591</v>
      </c>
      <c r="B34" s="14" t="s">
        <v>3587</v>
      </c>
      <c r="C34" s="14" t="s">
        <v>3592</v>
      </c>
      <c r="D34" s="15" t="s">
        <v>28</v>
      </c>
      <c r="E34" s="13" t="s">
        <v>46</v>
      </c>
      <c r="F34" s="14" t="s">
        <v>3593</v>
      </c>
      <c r="G34" s="14" t="s">
        <v>109</v>
      </c>
      <c r="H34" s="14" t="s">
        <v>3594</v>
      </c>
      <c r="I34" s="14"/>
      <c r="J34" s="16" t="s">
        <v>51</v>
      </c>
      <c r="K34" s="14"/>
    </row>
    <row r="35" spans="1:11" s="20" customFormat="1" ht="27.75" customHeight="1">
      <c r="A35" s="13" t="s">
        <v>3595</v>
      </c>
      <c r="B35" s="14" t="s">
        <v>3587</v>
      </c>
      <c r="C35" s="14" t="s">
        <v>3596</v>
      </c>
      <c r="D35" s="15" t="s">
        <v>28</v>
      </c>
      <c r="E35" s="13" t="s">
        <v>46</v>
      </c>
      <c r="F35" s="14" t="s">
        <v>3597</v>
      </c>
      <c r="G35" s="14" t="s">
        <v>109</v>
      </c>
      <c r="H35" s="14" t="s">
        <v>3598</v>
      </c>
      <c r="I35" s="14"/>
      <c r="J35" s="16" t="s">
        <v>51</v>
      </c>
      <c r="K35" s="14"/>
    </row>
    <row r="36" spans="1:11" s="21" customFormat="1" ht="27.75" customHeight="1">
      <c r="A36" s="17" t="s">
        <v>3599</v>
      </c>
      <c r="B36" s="18" t="s">
        <v>3587</v>
      </c>
      <c r="C36" s="18" t="s">
        <v>3600</v>
      </c>
      <c r="D36" s="19" t="s">
        <v>31</v>
      </c>
      <c r="E36" s="17" t="s">
        <v>46</v>
      </c>
      <c r="F36" s="18" t="s">
        <v>3601</v>
      </c>
      <c r="G36" s="18" t="s">
        <v>109</v>
      </c>
      <c r="H36" s="18" t="s">
        <v>3602</v>
      </c>
      <c r="I36" s="18"/>
      <c r="J36" s="16" t="s">
        <v>51</v>
      </c>
      <c r="K36" s="18"/>
    </row>
    <row r="37" spans="1:11" s="20" customFormat="1" ht="42" customHeight="1">
      <c r="A37" s="13" t="s">
        <v>3603</v>
      </c>
      <c r="B37" s="14" t="s">
        <v>3587</v>
      </c>
      <c r="C37" s="14" t="s">
        <v>3604</v>
      </c>
      <c r="D37" s="15" t="s">
        <v>28</v>
      </c>
      <c r="E37" s="13" t="s">
        <v>45</v>
      </c>
      <c r="F37" s="14" t="s">
        <v>3605</v>
      </c>
      <c r="G37" s="14" t="s">
        <v>109</v>
      </c>
      <c r="H37" s="14" t="s">
        <v>3606</v>
      </c>
      <c r="I37" s="14"/>
      <c r="J37" s="16" t="s">
        <v>51</v>
      </c>
      <c r="K37" s="14"/>
    </row>
    <row r="38" spans="1:11" s="21" customFormat="1" ht="42" customHeight="1">
      <c r="A38" s="17" t="s">
        <v>3607</v>
      </c>
      <c r="B38" s="18" t="s">
        <v>3587</v>
      </c>
      <c r="C38" s="18" t="s">
        <v>3608</v>
      </c>
      <c r="D38" s="19" t="s">
        <v>31</v>
      </c>
      <c r="E38" s="17" t="s">
        <v>45</v>
      </c>
      <c r="F38" s="18" t="s">
        <v>3609</v>
      </c>
      <c r="G38" s="18" t="s">
        <v>3610</v>
      </c>
      <c r="H38" s="18" t="s">
        <v>3611</v>
      </c>
      <c r="I38" s="18"/>
      <c r="J38" s="16" t="s">
        <v>51</v>
      </c>
      <c r="K38" s="18"/>
    </row>
    <row r="39" spans="1:11" s="21" customFormat="1" ht="42" customHeight="1">
      <c r="A39" s="17" t="s">
        <v>3612</v>
      </c>
      <c r="B39" s="18" t="s">
        <v>3587</v>
      </c>
      <c r="C39" s="18" t="s">
        <v>3613</v>
      </c>
      <c r="D39" s="19" t="s">
        <v>31</v>
      </c>
      <c r="E39" s="17" t="s">
        <v>45</v>
      </c>
      <c r="F39" s="18" t="s">
        <v>3614</v>
      </c>
      <c r="G39" s="18" t="s">
        <v>3615</v>
      </c>
      <c r="H39" s="18" t="s">
        <v>3616</v>
      </c>
      <c r="I39" s="18"/>
      <c r="J39" s="16" t="s">
        <v>51</v>
      </c>
      <c r="K39" s="18"/>
    </row>
    <row r="40" spans="1:11" s="20" customFormat="1" ht="27.75" customHeight="1">
      <c r="A40" s="13" t="s">
        <v>3617</v>
      </c>
      <c r="B40" s="14" t="s">
        <v>3587</v>
      </c>
      <c r="C40" s="14" t="s">
        <v>3618</v>
      </c>
      <c r="D40" s="15" t="s">
        <v>28</v>
      </c>
      <c r="E40" s="13" t="s">
        <v>46</v>
      </c>
      <c r="F40" s="14" t="s">
        <v>3619</v>
      </c>
      <c r="G40" s="14" t="s">
        <v>109</v>
      </c>
      <c r="H40" s="14" t="s">
        <v>3620</v>
      </c>
      <c r="I40" s="14"/>
      <c r="J40" s="16" t="s">
        <v>51</v>
      </c>
      <c r="K40" s="14"/>
    </row>
    <row r="41" spans="1:11" s="20" customFormat="1" ht="27.75" customHeight="1">
      <c r="A41" s="13" t="s">
        <v>3621</v>
      </c>
      <c r="B41" s="14" t="s">
        <v>3587</v>
      </c>
      <c r="C41" s="14" t="s">
        <v>3622</v>
      </c>
      <c r="D41" s="15" t="s">
        <v>28</v>
      </c>
      <c r="E41" s="13" t="s">
        <v>46</v>
      </c>
      <c r="F41" s="14" t="s">
        <v>3623</v>
      </c>
      <c r="G41" s="14" t="s">
        <v>3624</v>
      </c>
      <c r="H41" s="14" t="s">
        <v>3625</v>
      </c>
      <c r="I41" s="14"/>
      <c r="J41" s="16" t="s">
        <v>51</v>
      </c>
      <c r="K41" s="14"/>
    </row>
    <row r="42" spans="1:11" s="20" customFormat="1" ht="42" customHeight="1">
      <c r="A42" s="13" t="s">
        <v>3626</v>
      </c>
      <c r="B42" s="14" t="s">
        <v>3587</v>
      </c>
      <c r="C42" s="14" t="s">
        <v>3627</v>
      </c>
      <c r="D42" s="15" t="s">
        <v>28</v>
      </c>
      <c r="E42" s="13" t="s">
        <v>45</v>
      </c>
      <c r="F42" s="14" t="s">
        <v>3628</v>
      </c>
      <c r="G42" s="14" t="s">
        <v>3629</v>
      </c>
      <c r="H42" s="14" t="s">
        <v>3630</v>
      </c>
      <c r="I42" s="14"/>
      <c r="J42" s="16" t="s">
        <v>51</v>
      </c>
      <c r="K42" s="14"/>
    </row>
    <row r="43" spans="1:11" s="20" customFormat="1" ht="55.5" customHeight="1">
      <c r="A43" s="13" t="s">
        <v>3631</v>
      </c>
      <c r="B43" s="14" t="s">
        <v>3587</v>
      </c>
      <c r="C43" s="14" t="s">
        <v>3632</v>
      </c>
      <c r="D43" s="15" t="s">
        <v>30</v>
      </c>
      <c r="E43" s="13" t="s">
        <v>46</v>
      </c>
      <c r="F43" s="14" t="s">
        <v>3633</v>
      </c>
      <c r="G43" s="14" t="s">
        <v>3634</v>
      </c>
      <c r="H43" s="14" t="s">
        <v>3635</v>
      </c>
      <c r="I43" s="14"/>
      <c r="J43" s="16" t="s">
        <v>51</v>
      </c>
      <c r="K43" s="14"/>
    </row>
    <row r="44" spans="1:11" s="21" customFormat="1" ht="42" customHeight="1">
      <c r="A44" s="17" t="s">
        <v>3636</v>
      </c>
      <c r="B44" s="18" t="s">
        <v>3587</v>
      </c>
      <c r="C44" s="18" t="s">
        <v>3637</v>
      </c>
      <c r="D44" s="19" t="s">
        <v>31</v>
      </c>
      <c r="E44" s="17" t="s">
        <v>47</v>
      </c>
      <c r="F44" s="18" t="s">
        <v>3638</v>
      </c>
      <c r="G44" s="18" t="s">
        <v>109</v>
      </c>
      <c r="H44" s="18" t="s">
        <v>3639</v>
      </c>
      <c r="I44" s="18"/>
      <c r="J44" s="16" t="s">
        <v>51</v>
      </c>
      <c r="K44" s="18"/>
    </row>
    <row r="45" spans="1:11" s="20" customFormat="1" ht="42" customHeight="1">
      <c r="A45" s="13" t="s">
        <v>3640</v>
      </c>
      <c r="B45" s="14" t="s">
        <v>3587</v>
      </c>
      <c r="C45" s="14" t="s">
        <v>3641</v>
      </c>
      <c r="D45" s="15" t="s">
        <v>28</v>
      </c>
      <c r="E45" s="13" t="s">
        <v>47</v>
      </c>
      <c r="F45" s="14" t="s">
        <v>3642</v>
      </c>
      <c r="G45" s="14" t="s">
        <v>109</v>
      </c>
      <c r="H45" s="14" t="s">
        <v>3643</v>
      </c>
      <c r="I45" s="14"/>
      <c r="J45" s="16" t="s">
        <v>51</v>
      </c>
      <c r="K45" s="14"/>
    </row>
    <row r="46" spans="1:11" s="20" customFormat="1" ht="55.5" customHeight="1">
      <c r="A46" s="13" t="s">
        <v>3644</v>
      </c>
      <c r="B46" s="14" t="s">
        <v>3645</v>
      </c>
      <c r="C46" s="14" t="s">
        <v>3646</v>
      </c>
      <c r="D46" s="15" t="s">
        <v>28</v>
      </c>
      <c r="E46" s="13" t="s">
        <v>45</v>
      </c>
      <c r="F46" s="14" t="s">
        <v>3647</v>
      </c>
      <c r="G46" s="14" t="s">
        <v>3648</v>
      </c>
      <c r="H46" s="14" t="s">
        <v>3649</v>
      </c>
      <c r="I46" s="14"/>
      <c r="J46" s="16" t="s">
        <v>51</v>
      </c>
      <c r="K46" s="14"/>
    </row>
    <row r="47" spans="1:11" s="21" customFormat="1" ht="42" customHeight="1">
      <c r="A47" s="17" t="s">
        <v>3650</v>
      </c>
      <c r="B47" s="18" t="s">
        <v>3645</v>
      </c>
      <c r="C47" s="18" t="s">
        <v>3651</v>
      </c>
      <c r="D47" s="19" t="s">
        <v>31</v>
      </c>
      <c r="E47" s="17" t="s">
        <v>45</v>
      </c>
      <c r="F47" s="18" t="s">
        <v>3652</v>
      </c>
      <c r="G47" s="18" t="s">
        <v>3653</v>
      </c>
      <c r="H47" s="18" t="s">
        <v>3654</v>
      </c>
      <c r="I47" s="18"/>
      <c r="J47" s="16" t="s">
        <v>51</v>
      </c>
      <c r="K47" s="18"/>
    </row>
    <row r="48" spans="1:11" s="20" customFormat="1" ht="42" customHeight="1">
      <c r="A48" s="13" t="s">
        <v>3655</v>
      </c>
      <c r="B48" s="14" t="s">
        <v>3645</v>
      </c>
      <c r="C48" s="14" t="s">
        <v>3656</v>
      </c>
      <c r="D48" s="15" t="s">
        <v>28</v>
      </c>
      <c r="E48" s="13" t="s">
        <v>46</v>
      </c>
      <c r="F48" s="14" t="s">
        <v>3657</v>
      </c>
      <c r="G48" s="14" t="s">
        <v>109</v>
      </c>
      <c r="H48" s="14" t="s">
        <v>3658</v>
      </c>
      <c r="I48" s="14"/>
      <c r="J48" s="16" t="s">
        <v>51</v>
      </c>
      <c r="K48" s="14"/>
    </row>
    <row r="49" spans="1:11" s="20" customFormat="1" ht="42" customHeight="1">
      <c r="A49" s="13" t="s">
        <v>3659</v>
      </c>
      <c r="B49" s="14" t="s">
        <v>3645</v>
      </c>
      <c r="C49" s="14" t="s">
        <v>3660</v>
      </c>
      <c r="D49" s="15" t="s">
        <v>28</v>
      </c>
      <c r="E49" s="13" t="s">
        <v>45</v>
      </c>
      <c r="F49" s="14" t="s">
        <v>3661</v>
      </c>
      <c r="G49" s="14" t="s">
        <v>3662</v>
      </c>
      <c r="H49" s="14" t="s">
        <v>3663</v>
      </c>
      <c r="I49" s="14"/>
      <c r="J49" s="16" t="s">
        <v>51</v>
      </c>
      <c r="K49" s="14"/>
    </row>
    <row r="50" spans="1:11" s="21" customFormat="1" ht="27.75" customHeight="1">
      <c r="A50" s="17" t="s">
        <v>3664</v>
      </c>
      <c r="B50" s="18" t="s">
        <v>3645</v>
      </c>
      <c r="C50" s="18" t="s">
        <v>3665</v>
      </c>
      <c r="D50" s="19" t="s">
        <v>31</v>
      </c>
      <c r="E50" s="17" t="s">
        <v>46</v>
      </c>
      <c r="F50" s="18" t="s">
        <v>3666</v>
      </c>
      <c r="G50" s="18" t="s">
        <v>109</v>
      </c>
      <c r="H50" s="18" t="s">
        <v>3667</v>
      </c>
      <c r="I50" s="18"/>
      <c r="J50" s="16" t="s">
        <v>51</v>
      </c>
      <c r="K50" s="18"/>
    </row>
    <row r="51" spans="1:11" s="20" customFormat="1" ht="27.75" customHeight="1">
      <c r="A51" s="13" t="s">
        <v>3668</v>
      </c>
      <c r="B51" s="14" t="s">
        <v>3645</v>
      </c>
      <c r="C51" s="14" t="s">
        <v>3669</v>
      </c>
      <c r="D51" s="15" t="s">
        <v>28</v>
      </c>
      <c r="E51" s="13" t="s">
        <v>45</v>
      </c>
      <c r="F51" s="14" t="s">
        <v>3670</v>
      </c>
      <c r="G51" s="14" t="s">
        <v>109</v>
      </c>
      <c r="H51" s="14" t="s">
        <v>3671</v>
      </c>
      <c r="I51" s="14"/>
      <c r="J51" s="16" t="s">
        <v>51</v>
      </c>
      <c r="K51" s="14"/>
    </row>
    <row r="52" spans="1:11" s="20" customFormat="1" ht="27.75" customHeight="1">
      <c r="A52" s="13" t="s">
        <v>3672</v>
      </c>
      <c r="B52" s="14" t="s">
        <v>3673</v>
      </c>
      <c r="C52" s="14" t="s">
        <v>3674</v>
      </c>
      <c r="D52" s="15" t="s">
        <v>28</v>
      </c>
      <c r="E52" s="13" t="s">
        <v>46</v>
      </c>
      <c r="F52" s="14" t="s">
        <v>3675</v>
      </c>
      <c r="G52" s="14" t="s">
        <v>109</v>
      </c>
      <c r="H52" s="14" t="s">
        <v>3676</v>
      </c>
      <c r="I52" s="14"/>
      <c r="J52" s="16" t="s">
        <v>51</v>
      </c>
      <c r="K52" s="14"/>
    </row>
    <row r="53" spans="1:11" s="21" customFormat="1" ht="42" customHeight="1">
      <c r="A53" s="17" t="s">
        <v>3677</v>
      </c>
      <c r="B53" s="18" t="s">
        <v>3673</v>
      </c>
      <c r="C53" s="18" t="s">
        <v>3678</v>
      </c>
      <c r="D53" s="19" t="s">
        <v>31</v>
      </c>
      <c r="E53" s="17" t="s">
        <v>45</v>
      </c>
      <c r="F53" s="18" t="s">
        <v>3679</v>
      </c>
      <c r="G53" s="18" t="s">
        <v>3680</v>
      </c>
      <c r="H53" s="18" t="s">
        <v>3681</v>
      </c>
      <c r="I53" s="18"/>
      <c r="J53" s="16" t="s">
        <v>51</v>
      </c>
      <c r="K53" s="18"/>
    </row>
    <row r="54" spans="1:11" s="20" customFormat="1" ht="42" customHeight="1">
      <c r="A54" s="13" t="s">
        <v>3682</v>
      </c>
      <c r="B54" s="14" t="s">
        <v>3673</v>
      </c>
      <c r="C54" s="14" t="s">
        <v>3683</v>
      </c>
      <c r="D54" s="15" t="s">
        <v>28</v>
      </c>
      <c r="E54" s="13" t="s">
        <v>46</v>
      </c>
      <c r="F54" s="14" t="s">
        <v>3684</v>
      </c>
      <c r="G54" s="14" t="s">
        <v>3685</v>
      </c>
      <c r="H54" s="14" t="s">
        <v>3686</v>
      </c>
      <c r="I54" s="14"/>
      <c r="J54" s="16" t="s">
        <v>51</v>
      </c>
      <c r="K54" s="14"/>
    </row>
    <row r="55" spans="1:11" s="20" customFormat="1" ht="42" customHeight="1">
      <c r="A55" s="13" t="s">
        <v>3687</v>
      </c>
      <c r="B55" s="14" t="s">
        <v>3673</v>
      </c>
      <c r="C55" s="14" t="s">
        <v>3688</v>
      </c>
      <c r="D55" s="15" t="s">
        <v>28</v>
      </c>
      <c r="E55" s="13" t="s">
        <v>45</v>
      </c>
      <c r="F55" s="14" t="s">
        <v>3689</v>
      </c>
      <c r="G55" s="14" t="s">
        <v>109</v>
      </c>
      <c r="H55" s="14" t="s">
        <v>3690</v>
      </c>
      <c r="I55" s="14"/>
      <c r="J55" s="16" t="s">
        <v>51</v>
      </c>
      <c r="K55" s="14"/>
    </row>
    <row r="56" spans="1:11" s="21" customFormat="1" ht="42" customHeight="1">
      <c r="A56" s="17" t="s">
        <v>3691</v>
      </c>
      <c r="B56" s="18" t="s">
        <v>3673</v>
      </c>
      <c r="C56" s="18" t="s">
        <v>3692</v>
      </c>
      <c r="D56" s="19" t="s">
        <v>31</v>
      </c>
      <c r="E56" s="17" t="s">
        <v>46</v>
      </c>
      <c r="F56" s="18" t="s">
        <v>3693</v>
      </c>
      <c r="G56" s="18" t="s">
        <v>3694</v>
      </c>
      <c r="H56" s="18" t="s">
        <v>3695</v>
      </c>
      <c r="I56" s="18"/>
      <c r="J56" s="16" t="s">
        <v>51</v>
      </c>
      <c r="K56" s="18"/>
    </row>
    <row r="57" spans="1:11" s="20" customFormat="1" ht="27.75" customHeight="1">
      <c r="A57" s="13" t="s">
        <v>3696</v>
      </c>
      <c r="B57" s="14" t="s">
        <v>3697</v>
      </c>
      <c r="C57" s="14" t="s">
        <v>3698</v>
      </c>
      <c r="D57" s="15" t="s">
        <v>28</v>
      </c>
      <c r="E57" s="13" t="s">
        <v>46</v>
      </c>
      <c r="F57" s="14" t="s">
        <v>3699</v>
      </c>
      <c r="G57" s="14" t="s">
        <v>3700</v>
      </c>
      <c r="H57" s="14" t="s">
        <v>3701</v>
      </c>
      <c r="I57" s="14"/>
      <c r="J57" s="16" t="s">
        <v>51</v>
      </c>
      <c r="K57" s="14"/>
    </row>
    <row r="58" spans="1:11" s="20" customFormat="1" ht="27.75" customHeight="1">
      <c r="A58" s="13" t="s">
        <v>3702</v>
      </c>
      <c r="B58" s="14" t="s">
        <v>3697</v>
      </c>
      <c r="C58" s="14" t="s">
        <v>3703</v>
      </c>
      <c r="D58" s="15" t="s">
        <v>28</v>
      </c>
      <c r="E58" s="13" t="s">
        <v>46</v>
      </c>
      <c r="F58" s="14" t="s">
        <v>3704</v>
      </c>
      <c r="G58" s="14" t="s">
        <v>3705</v>
      </c>
      <c r="H58" s="14" t="s">
        <v>3706</v>
      </c>
      <c r="I58" s="14"/>
      <c r="J58" s="16" t="s">
        <v>51</v>
      </c>
      <c r="K58" s="14"/>
    </row>
    <row r="59" spans="1:11" s="20" customFormat="1" ht="42" customHeight="1">
      <c r="A59" s="13" t="s">
        <v>3707</v>
      </c>
      <c r="B59" s="14" t="s">
        <v>3697</v>
      </c>
      <c r="C59" s="14" t="s">
        <v>3708</v>
      </c>
      <c r="D59" s="15" t="s">
        <v>28</v>
      </c>
      <c r="E59" s="13" t="s">
        <v>46</v>
      </c>
      <c r="F59" s="14" t="s">
        <v>3709</v>
      </c>
      <c r="G59" s="14" t="s">
        <v>3710</v>
      </c>
      <c r="H59" s="14" t="s">
        <v>3711</v>
      </c>
      <c r="I59" s="14"/>
      <c r="J59" s="16" t="s">
        <v>51</v>
      </c>
      <c r="K59" s="14"/>
    </row>
    <row r="60" spans="1:11" s="21" customFormat="1" ht="42" customHeight="1">
      <c r="A60" s="17" t="s">
        <v>3712</v>
      </c>
      <c r="B60" s="18" t="s">
        <v>3697</v>
      </c>
      <c r="C60" s="18" t="s">
        <v>3713</v>
      </c>
      <c r="D60" s="19" t="s">
        <v>31</v>
      </c>
      <c r="E60" s="17" t="s">
        <v>45</v>
      </c>
      <c r="F60" s="18" t="s">
        <v>3714</v>
      </c>
      <c r="G60" s="18" t="s">
        <v>3715</v>
      </c>
      <c r="H60" s="18" t="s">
        <v>3716</v>
      </c>
      <c r="I60" s="18"/>
      <c r="J60" s="16" t="s">
        <v>51</v>
      </c>
      <c r="K60" s="18"/>
    </row>
    <row r="61" spans="1:11" s="21" customFormat="1" ht="42" customHeight="1">
      <c r="A61" s="17" t="s">
        <v>3717</v>
      </c>
      <c r="B61" s="18" t="s">
        <v>3697</v>
      </c>
      <c r="C61" s="18" t="s">
        <v>3718</v>
      </c>
      <c r="D61" s="19" t="s">
        <v>31</v>
      </c>
      <c r="E61" s="17" t="s">
        <v>45</v>
      </c>
      <c r="F61" s="18" t="s">
        <v>3719</v>
      </c>
      <c r="G61" s="18" t="s">
        <v>3720</v>
      </c>
      <c r="H61" s="18" t="s">
        <v>3721</v>
      </c>
      <c r="I61" s="18"/>
      <c r="J61" s="16" t="s">
        <v>51</v>
      </c>
      <c r="K61" s="18"/>
    </row>
    <row r="62" spans="1:11" s="21" customFormat="1" ht="27.75" customHeight="1">
      <c r="A62" s="17" t="s">
        <v>3722</v>
      </c>
      <c r="B62" s="18" t="s">
        <v>3697</v>
      </c>
      <c r="C62" s="18" t="s">
        <v>3723</v>
      </c>
      <c r="D62" s="19" t="s">
        <v>31</v>
      </c>
      <c r="E62" s="17" t="s">
        <v>46</v>
      </c>
      <c r="F62" s="18" t="s">
        <v>3724</v>
      </c>
      <c r="G62" s="18" t="s">
        <v>3725</v>
      </c>
      <c r="H62" s="18" t="s">
        <v>3726</v>
      </c>
      <c r="I62" s="18"/>
      <c r="J62" s="16" t="s">
        <v>51</v>
      </c>
      <c r="K62" s="18"/>
    </row>
    <row r="63" spans="1:11" s="21" customFormat="1" ht="27.75" customHeight="1">
      <c r="A63" s="17" t="s">
        <v>3727</v>
      </c>
      <c r="B63" s="18" t="s">
        <v>3697</v>
      </c>
      <c r="C63" s="18" t="s">
        <v>3728</v>
      </c>
      <c r="D63" s="19" t="s">
        <v>31</v>
      </c>
      <c r="E63" s="17" t="s">
        <v>46</v>
      </c>
      <c r="F63" s="18" t="s">
        <v>3729</v>
      </c>
      <c r="G63" s="18" t="s">
        <v>3730</v>
      </c>
      <c r="H63" s="18" t="s">
        <v>3731</v>
      </c>
      <c r="I63" s="18"/>
      <c r="J63" s="16" t="s">
        <v>51</v>
      </c>
      <c r="K63" s="18"/>
    </row>
    <row r="64" spans="1:11" s="20" customFormat="1" ht="27.75" customHeight="1">
      <c r="A64" s="13" t="s">
        <v>3732</v>
      </c>
      <c r="B64" s="14" t="s">
        <v>3697</v>
      </c>
      <c r="C64" s="14" t="s">
        <v>3733</v>
      </c>
      <c r="D64" s="15" t="s">
        <v>28</v>
      </c>
      <c r="E64" s="13" t="s">
        <v>47</v>
      </c>
      <c r="F64" s="14" t="s">
        <v>3734</v>
      </c>
      <c r="G64" s="14" t="s">
        <v>109</v>
      </c>
      <c r="H64" s="14" t="s">
        <v>3735</v>
      </c>
      <c r="I64" s="14"/>
      <c r="J64" s="16" t="s">
        <v>51</v>
      </c>
      <c r="K64" s="14"/>
    </row>
    <row r="65" spans="1:11" s="20" customFormat="1" ht="42" customHeight="1">
      <c r="A65" s="13" t="s">
        <v>3736</v>
      </c>
      <c r="B65" s="14" t="s">
        <v>3737</v>
      </c>
      <c r="C65" s="14" t="s">
        <v>3738</v>
      </c>
      <c r="D65" s="15" t="s">
        <v>28</v>
      </c>
      <c r="E65" s="13" t="s">
        <v>45</v>
      </c>
      <c r="F65" s="14" t="s">
        <v>3739</v>
      </c>
      <c r="G65" s="14" t="s">
        <v>3740</v>
      </c>
      <c r="H65" s="14" t="s">
        <v>3741</v>
      </c>
      <c r="I65" s="14"/>
      <c r="J65" s="16" t="s">
        <v>51</v>
      </c>
      <c r="K65" s="14"/>
    </row>
    <row r="66" spans="1:11" s="21" customFormat="1" ht="69.75" customHeight="1">
      <c r="A66" s="17" t="s">
        <v>3742</v>
      </c>
      <c r="B66" s="18" t="s">
        <v>3737</v>
      </c>
      <c r="C66" s="18" t="s">
        <v>3743</v>
      </c>
      <c r="D66" s="19" t="s">
        <v>31</v>
      </c>
      <c r="E66" s="17" t="s">
        <v>45</v>
      </c>
      <c r="F66" s="18" t="s">
        <v>3744</v>
      </c>
      <c r="G66" s="18" t="s">
        <v>3745</v>
      </c>
      <c r="H66" s="18" t="s">
        <v>3746</v>
      </c>
      <c r="I66" s="18"/>
      <c r="J66" s="16" t="s">
        <v>51</v>
      </c>
      <c r="K66" s="18"/>
    </row>
    <row r="67" spans="1:11" s="21" customFormat="1" ht="69.75" customHeight="1">
      <c r="A67" s="17" t="s">
        <v>3747</v>
      </c>
      <c r="B67" s="18" t="s">
        <v>3737</v>
      </c>
      <c r="C67" s="18" t="s">
        <v>3748</v>
      </c>
      <c r="D67" s="19" t="s">
        <v>31</v>
      </c>
      <c r="E67" s="17" t="s">
        <v>45</v>
      </c>
      <c r="F67" s="18" t="s">
        <v>3749</v>
      </c>
      <c r="G67" s="18" t="s">
        <v>3750</v>
      </c>
      <c r="H67" s="18" t="s">
        <v>3751</v>
      </c>
      <c r="I67" s="18"/>
      <c r="J67" s="16" t="s">
        <v>51</v>
      </c>
      <c r="K67" s="18"/>
    </row>
    <row r="68" spans="1:11" s="21" customFormat="1" ht="27.75" customHeight="1">
      <c r="A68" s="17" t="s">
        <v>3752</v>
      </c>
      <c r="B68" s="18" t="s">
        <v>3737</v>
      </c>
      <c r="C68" s="18" t="s">
        <v>3753</v>
      </c>
      <c r="D68" s="19" t="s">
        <v>31</v>
      </c>
      <c r="E68" s="17" t="s">
        <v>46</v>
      </c>
      <c r="F68" s="18" t="s">
        <v>3754</v>
      </c>
      <c r="G68" s="18" t="s">
        <v>3755</v>
      </c>
      <c r="H68" s="18" t="s">
        <v>3756</v>
      </c>
      <c r="I68" s="18"/>
      <c r="J68" s="16" t="s">
        <v>51</v>
      </c>
      <c r="K68" s="18"/>
    </row>
    <row r="69" spans="1:11" s="20" customFormat="1" ht="97.5" customHeight="1">
      <c r="A69" s="13" t="s">
        <v>3757</v>
      </c>
      <c r="B69" s="14" t="s">
        <v>3737</v>
      </c>
      <c r="C69" s="14" t="s">
        <v>3758</v>
      </c>
      <c r="D69" s="15" t="s">
        <v>28</v>
      </c>
      <c r="E69" s="13" t="s">
        <v>45</v>
      </c>
      <c r="F69" s="14" t="s">
        <v>3759</v>
      </c>
      <c r="G69" s="14" t="s">
        <v>3760</v>
      </c>
      <c r="H69" s="14" t="s">
        <v>3761</v>
      </c>
      <c r="I69" s="14"/>
      <c r="J69" s="16" t="s">
        <v>51</v>
      </c>
      <c r="K69" s="14"/>
    </row>
    <row r="70" spans="1:11" s="20" customFormat="1" ht="27.75" customHeight="1">
      <c r="A70" s="13" t="s">
        <v>3762</v>
      </c>
      <c r="B70" s="14" t="s">
        <v>3737</v>
      </c>
      <c r="C70" s="14" t="s">
        <v>3763</v>
      </c>
      <c r="D70" s="15" t="s">
        <v>28</v>
      </c>
      <c r="E70" s="13" t="s">
        <v>46</v>
      </c>
      <c r="F70" s="14" t="s">
        <v>3764</v>
      </c>
      <c r="G70" s="14" t="s">
        <v>109</v>
      </c>
      <c r="H70" s="14" t="s">
        <v>3765</v>
      </c>
      <c r="I70" s="14"/>
      <c r="J70" s="16" t="s">
        <v>51</v>
      </c>
      <c r="K70" s="14"/>
    </row>
    <row r="71" spans="1:11" s="20" customFormat="1" ht="27.75" customHeight="1">
      <c r="A71" s="13" t="s">
        <v>3766</v>
      </c>
      <c r="B71" s="14" t="s">
        <v>3767</v>
      </c>
      <c r="C71" s="14" t="s">
        <v>3768</v>
      </c>
      <c r="D71" s="15" t="s">
        <v>28</v>
      </c>
      <c r="E71" s="13" t="s">
        <v>45</v>
      </c>
      <c r="F71" s="14" t="s">
        <v>3769</v>
      </c>
      <c r="G71" s="14" t="s">
        <v>109</v>
      </c>
      <c r="H71" s="14" t="s">
        <v>3770</v>
      </c>
      <c r="I71" s="14"/>
      <c r="J71" s="16" t="s">
        <v>51</v>
      </c>
      <c r="K71" s="14"/>
    </row>
    <row r="72" spans="1:11" s="20" customFormat="1" ht="42" customHeight="1">
      <c r="A72" s="13" t="s">
        <v>3771</v>
      </c>
      <c r="B72" s="14" t="s">
        <v>3767</v>
      </c>
      <c r="C72" s="14" t="s">
        <v>3772</v>
      </c>
      <c r="D72" s="15" t="s">
        <v>28</v>
      </c>
      <c r="E72" s="13" t="s">
        <v>46</v>
      </c>
      <c r="F72" s="14" t="s">
        <v>3773</v>
      </c>
      <c r="G72" s="14" t="s">
        <v>3774</v>
      </c>
      <c r="H72" s="14" t="s">
        <v>3775</v>
      </c>
      <c r="I72" s="14"/>
      <c r="J72" s="16" t="s">
        <v>51</v>
      </c>
      <c r="K72" s="14"/>
    </row>
    <row r="73" spans="1:11" s="20" customFormat="1" ht="27.75" customHeight="1">
      <c r="A73" s="13" t="s">
        <v>3776</v>
      </c>
      <c r="B73" s="14" t="s">
        <v>3767</v>
      </c>
      <c r="C73" s="14" t="s">
        <v>3777</v>
      </c>
      <c r="D73" s="15" t="s">
        <v>30</v>
      </c>
      <c r="E73" s="13" t="s">
        <v>46</v>
      </c>
      <c r="F73" s="14" t="s">
        <v>3778</v>
      </c>
      <c r="G73" s="14" t="s">
        <v>3779</v>
      </c>
      <c r="H73" s="14" t="s">
        <v>3780</v>
      </c>
      <c r="I73" s="14"/>
      <c r="J73" s="16" t="s">
        <v>51</v>
      </c>
      <c r="K73" s="14"/>
    </row>
    <row r="74" spans="1:11" s="20" customFormat="1" ht="42" customHeight="1">
      <c r="A74" s="13" t="s">
        <v>3781</v>
      </c>
      <c r="B74" s="14" t="s">
        <v>3767</v>
      </c>
      <c r="C74" s="14" t="s">
        <v>3782</v>
      </c>
      <c r="D74" s="15" t="s">
        <v>28</v>
      </c>
      <c r="E74" s="13" t="s">
        <v>47</v>
      </c>
      <c r="F74" s="14" t="s">
        <v>3783</v>
      </c>
      <c r="G74" s="14" t="s">
        <v>109</v>
      </c>
      <c r="H74" s="14" t="s">
        <v>3784</v>
      </c>
      <c r="I74" s="14"/>
      <c r="J74" s="16" t="s">
        <v>51</v>
      </c>
      <c r="K74" s="14"/>
    </row>
    <row r="75" spans="1:11" s="20" customFormat="1" ht="27.75" customHeight="1">
      <c r="A75" s="13" t="s">
        <v>3785</v>
      </c>
      <c r="B75" s="14" t="s">
        <v>3767</v>
      </c>
      <c r="C75" s="14" t="s">
        <v>3786</v>
      </c>
      <c r="D75" s="15" t="s">
        <v>28</v>
      </c>
      <c r="E75" s="13" t="s">
        <v>47</v>
      </c>
      <c r="F75" s="14" t="s">
        <v>3787</v>
      </c>
      <c r="G75" s="14" t="s">
        <v>109</v>
      </c>
      <c r="H75" s="14" t="s">
        <v>3788</v>
      </c>
      <c r="I75" s="14"/>
      <c r="J75" s="16" t="s">
        <v>51</v>
      </c>
      <c r="K75" s="14"/>
    </row>
    <row r="76" spans="1:11" s="20" customFormat="1" ht="27.75" customHeight="1">
      <c r="A76" s="13" t="s">
        <v>3789</v>
      </c>
      <c r="B76" s="14" t="s">
        <v>3790</v>
      </c>
      <c r="C76" s="14" t="s">
        <v>3791</v>
      </c>
      <c r="D76" s="15" t="s">
        <v>28</v>
      </c>
      <c r="E76" s="13" t="s">
        <v>45</v>
      </c>
      <c r="F76" s="14" t="s">
        <v>3792</v>
      </c>
      <c r="G76" s="14" t="s">
        <v>109</v>
      </c>
      <c r="H76" s="14" t="s">
        <v>3793</v>
      </c>
      <c r="I76" s="14"/>
      <c r="J76" s="16" t="s">
        <v>51</v>
      </c>
      <c r="K76" s="14"/>
    </row>
    <row r="77" spans="1:11" s="20" customFormat="1" ht="27.75" customHeight="1">
      <c r="A77" s="13" t="s">
        <v>3794</v>
      </c>
      <c r="B77" s="14" t="s">
        <v>3790</v>
      </c>
      <c r="C77" s="14" t="s">
        <v>3795</v>
      </c>
      <c r="D77" s="15" t="s">
        <v>28</v>
      </c>
      <c r="E77" s="13" t="s">
        <v>47</v>
      </c>
      <c r="F77" s="14" t="s">
        <v>3796</v>
      </c>
      <c r="G77" s="14" t="s">
        <v>109</v>
      </c>
      <c r="H77" s="14" t="s">
        <v>3797</v>
      </c>
      <c r="I77" s="14"/>
      <c r="J77" s="16" t="s">
        <v>51</v>
      </c>
      <c r="K77" s="14"/>
    </row>
    <row r="78" spans="1:11" s="21" customFormat="1" ht="42" customHeight="1">
      <c r="A78" s="17" t="s">
        <v>3798</v>
      </c>
      <c r="B78" s="18" t="s">
        <v>3790</v>
      </c>
      <c r="C78" s="18" t="s">
        <v>3799</v>
      </c>
      <c r="D78" s="19" t="s">
        <v>31</v>
      </c>
      <c r="E78" s="17" t="s">
        <v>46</v>
      </c>
      <c r="F78" s="18" t="s">
        <v>3800</v>
      </c>
      <c r="G78" s="18" t="s">
        <v>3615</v>
      </c>
      <c r="H78" s="18" t="s">
        <v>3801</v>
      </c>
      <c r="I78" s="18"/>
      <c r="J78" s="16" t="s">
        <v>51</v>
      </c>
      <c r="K78" s="18"/>
    </row>
    <row r="79" spans="1:11" s="20" customFormat="1" ht="55.5" customHeight="1">
      <c r="A79" s="13" t="s">
        <v>3802</v>
      </c>
      <c r="B79" s="14" t="s">
        <v>3790</v>
      </c>
      <c r="C79" s="14" t="s">
        <v>3803</v>
      </c>
      <c r="D79" s="15" t="s">
        <v>28</v>
      </c>
      <c r="E79" s="13" t="s">
        <v>46</v>
      </c>
      <c r="F79" s="14" t="s">
        <v>3804</v>
      </c>
      <c r="G79" s="14" t="s">
        <v>3805</v>
      </c>
      <c r="H79" s="14" t="s">
        <v>3806</v>
      </c>
      <c r="I79" s="14"/>
      <c r="J79" s="16" t="s">
        <v>51</v>
      </c>
      <c r="K79" s="14"/>
    </row>
    <row r="80" spans="1:11" s="20" customFormat="1" ht="27.75" customHeight="1">
      <c r="A80" s="13" t="s">
        <v>3807</v>
      </c>
      <c r="B80" s="14" t="s">
        <v>3808</v>
      </c>
      <c r="C80" s="14" t="s">
        <v>3809</v>
      </c>
      <c r="D80" s="15" t="s">
        <v>28</v>
      </c>
      <c r="E80" s="13" t="s">
        <v>45</v>
      </c>
      <c r="F80" s="14" t="s">
        <v>3810</v>
      </c>
      <c r="G80" s="14" t="s">
        <v>109</v>
      </c>
      <c r="H80" s="14" t="s">
        <v>3811</v>
      </c>
      <c r="I80" s="14"/>
      <c r="J80" s="16" t="s">
        <v>51</v>
      </c>
      <c r="K80" s="14"/>
    </row>
    <row r="81" spans="1:11" s="20" customFormat="1" ht="27.75" customHeight="1">
      <c r="A81" s="13" t="s">
        <v>3812</v>
      </c>
      <c r="B81" s="14" t="s">
        <v>3808</v>
      </c>
      <c r="C81" s="14" t="s">
        <v>3813</v>
      </c>
      <c r="D81" s="15" t="s">
        <v>28</v>
      </c>
      <c r="E81" s="13" t="s">
        <v>45</v>
      </c>
      <c r="F81" s="14" t="s">
        <v>3814</v>
      </c>
      <c r="G81" s="14" t="s">
        <v>109</v>
      </c>
      <c r="H81" s="14" t="s">
        <v>3815</v>
      </c>
      <c r="I81" s="14"/>
      <c r="J81" s="16" t="s">
        <v>51</v>
      </c>
      <c r="K81" s="14"/>
    </row>
    <row r="82" spans="1:11" s="20" customFormat="1" ht="27.75" customHeight="1">
      <c r="A82" s="13" t="s">
        <v>3816</v>
      </c>
      <c r="B82" s="14" t="s">
        <v>3808</v>
      </c>
      <c r="C82" s="14" t="s">
        <v>3817</v>
      </c>
      <c r="D82" s="15" t="s">
        <v>28</v>
      </c>
      <c r="E82" s="13" t="s">
        <v>46</v>
      </c>
      <c r="F82" s="14" t="s">
        <v>3818</v>
      </c>
      <c r="G82" s="14" t="s">
        <v>3523</v>
      </c>
      <c r="H82" s="14" t="s">
        <v>3819</v>
      </c>
      <c r="I82" s="14"/>
      <c r="J82" s="16" t="s">
        <v>51</v>
      </c>
      <c r="K82" s="14"/>
    </row>
    <row r="83" spans="1:11" s="21" customFormat="1" ht="27.75" customHeight="1">
      <c r="A83" s="17" t="s">
        <v>3820</v>
      </c>
      <c r="B83" s="18" t="s">
        <v>3808</v>
      </c>
      <c r="C83" s="18" t="s">
        <v>3821</v>
      </c>
      <c r="D83" s="19" t="s">
        <v>31</v>
      </c>
      <c r="E83" s="17" t="s">
        <v>46</v>
      </c>
      <c r="F83" s="18" t="s">
        <v>3822</v>
      </c>
      <c r="G83" s="18" t="s">
        <v>3538</v>
      </c>
      <c r="H83" s="18" t="s">
        <v>3823</v>
      </c>
      <c r="I83" s="18"/>
      <c r="J83" s="16" t="s">
        <v>51</v>
      </c>
      <c r="K83" s="18"/>
    </row>
    <row r="84" spans="1:11" s="20" customFormat="1" ht="27.75" customHeight="1">
      <c r="A84" s="13" t="s">
        <v>3824</v>
      </c>
      <c r="B84" s="14" t="s">
        <v>3825</v>
      </c>
      <c r="C84" s="14" t="s">
        <v>3826</v>
      </c>
      <c r="D84" s="15" t="s">
        <v>30</v>
      </c>
      <c r="E84" s="13" t="s">
        <v>46</v>
      </c>
      <c r="F84" s="14" t="s">
        <v>3827</v>
      </c>
      <c r="G84" s="14" t="s">
        <v>109</v>
      </c>
      <c r="H84" s="14" t="s">
        <v>3828</v>
      </c>
      <c r="I84" s="14"/>
      <c r="J84" s="16" t="s">
        <v>51</v>
      </c>
      <c r="K84" s="14"/>
    </row>
    <row r="85" spans="1:11" s="20" customFormat="1" ht="27.75" customHeight="1">
      <c r="A85" s="13" t="s">
        <v>3829</v>
      </c>
      <c r="B85" s="14" t="s">
        <v>3825</v>
      </c>
      <c r="C85" s="14" t="s">
        <v>3830</v>
      </c>
      <c r="D85" s="15" t="s">
        <v>28</v>
      </c>
      <c r="E85" s="13" t="s">
        <v>46</v>
      </c>
      <c r="F85" s="14" t="s">
        <v>3831</v>
      </c>
      <c r="G85" s="14" t="s">
        <v>3832</v>
      </c>
      <c r="H85" s="14" t="s">
        <v>3833</v>
      </c>
      <c r="I85" s="14"/>
      <c r="J85" s="16" t="s">
        <v>51</v>
      </c>
      <c r="K85" s="14"/>
    </row>
    <row r="86" spans="1:11" s="21" customFormat="1" ht="42" customHeight="1">
      <c r="A86" s="17" t="s">
        <v>3834</v>
      </c>
      <c r="B86" s="18" t="s">
        <v>3825</v>
      </c>
      <c r="C86" s="18" t="s">
        <v>3835</v>
      </c>
      <c r="D86" s="19" t="s">
        <v>31</v>
      </c>
      <c r="E86" s="17" t="s">
        <v>47</v>
      </c>
      <c r="F86" s="18" t="s">
        <v>3836</v>
      </c>
      <c r="G86" s="18" t="s">
        <v>3837</v>
      </c>
      <c r="H86" s="18" t="s">
        <v>3838</v>
      </c>
      <c r="I86" s="18"/>
      <c r="J86" s="16" t="s">
        <v>51</v>
      </c>
      <c r="K86" s="18"/>
    </row>
    <row r="87" spans="1:11" s="20" customFormat="1" ht="42" customHeight="1">
      <c r="A87" s="13" t="s">
        <v>3839</v>
      </c>
      <c r="B87" s="14" t="s">
        <v>3840</v>
      </c>
      <c r="C87" s="14" t="s">
        <v>3841</v>
      </c>
      <c r="D87" s="15" t="s">
        <v>28</v>
      </c>
      <c r="E87" s="13" t="s">
        <v>45</v>
      </c>
      <c r="F87" s="14" t="s">
        <v>3842</v>
      </c>
      <c r="G87" s="14" t="s">
        <v>109</v>
      </c>
      <c r="H87" s="14" t="s">
        <v>3843</v>
      </c>
      <c r="I87" s="14"/>
      <c r="J87" s="16" t="s">
        <v>51</v>
      </c>
      <c r="K87" s="14"/>
    </row>
    <row r="88" spans="1:11" s="20" customFormat="1" ht="27.75" customHeight="1">
      <c r="A88" s="13" t="s">
        <v>3844</v>
      </c>
      <c r="B88" s="14" t="s">
        <v>3840</v>
      </c>
      <c r="C88" s="14" t="s">
        <v>3845</v>
      </c>
      <c r="D88" s="15" t="s">
        <v>28</v>
      </c>
      <c r="E88" s="13" t="s">
        <v>46</v>
      </c>
      <c r="F88" s="14" t="s">
        <v>3846</v>
      </c>
      <c r="G88" s="14" t="s">
        <v>109</v>
      </c>
      <c r="H88" s="14" t="s">
        <v>3847</v>
      </c>
      <c r="I88" s="14"/>
      <c r="J88" s="16" t="s">
        <v>51</v>
      </c>
      <c r="K88" s="14"/>
    </row>
    <row r="89" spans="1:11" s="20" customFormat="1" ht="42" customHeight="1">
      <c r="A89" s="13" t="s">
        <v>3848</v>
      </c>
      <c r="B89" s="14" t="s">
        <v>3840</v>
      </c>
      <c r="C89" s="14" t="s">
        <v>3849</v>
      </c>
      <c r="D89" s="15" t="s">
        <v>28</v>
      </c>
      <c r="E89" s="13" t="s">
        <v>46</v>
      </c>
      <c r="F89" s="14" t="s">
        <v>3850</v>
      </c>
      <c r="G89" s="14" t="s">
        <v>109</v>
      </c>
      <c r="H89" s="14" t="s">
        <v>3851</v>
      </c>
      <c r="I89" s="14"/>
      <c r="J89" s="16" t="s">
        <v>51</v>
      </c>
      <c r="K89" s="14"/>
    </row>
    <row r="90" spans="1:11" s="20" customFormat="1" ht="42" customHeight="1">
      <c r="A90" s="13" t="s">
        <v>3852</v>
      </c>
      <c r="B90" s="14" t="s">
        <v>3840</v>
      </c>
      <c r="C90" s="14" t="s">
        <v>3853</v>
      </c>
      <c r="D90" s="15" t="s">
        <v>28</v>
      </c>
      <c r="E90" s="13" t="s">
        <v>45</v>
      </c>
      <c r="F90" s="14" t="s">
        <v>3854</v>
      </c>
      <c r="G90" s="14" t="s">
        <v>109</v>
      </c>
      <c r="H90" s="14" t="s">
        <v>3855</v>
      </c>
      <c r="I90" s="14"/>
      <c r="J90" s="16" t="s">
        <v>51</v>
      </c>
      <c r="K90" s="14"/>
    </row>
    <row r="91" spans="1:11" s="21" customFormat="1" ht="69.75" customHeight="1">
      <c r="A91" s="17" t="s">
        <v>3856</v>
      </c>
      <c r="B91" s="18" t="s">
        <v>3857</v>
      </c>
      <c r="C91" s="18" t="s">
        <v>3858</v>
      </c>
      <c r="D91" s="19" t="s">
        <v>31</v>
      </c>
      <c r="E91" s="17" t="s">
        <v>45</v>
      </c>
      <c r="F91" s="18" t="s">
        <v>3859</v>
      </c>
      <c r="G91" s="18" t="s">
        <v>3745</v>
      </c>
      <c r="H91" s="18" t="s">
        <v>3860</v>
      </c>
      <c r="I91" s="18"/>
      <c r="J91" s="16" t="s">
        <v>51</v>
      </c>
      <c r="K91" s="18"/>
    </row>
    <row r="92" spans="1:11" s="20" customFormat="1" ht="27.75" customHeight="1">
      <c r="A92" s="13" t="s">
        <v>3861</v>
      </c>
      <c r="B92" s="14" t="s">
        <v>3857</v>
      </c>
      <c r="C92" s="14" t="s">
        <v>3862</v>
      </c>
      <c r="D92" s="15" t="s">
        <v>28</v>
      </c>
      <c r="E92" s="13" t="s">
        <v>45</v>
      </c>
      <c r="F92" s="14" t="s">
        <v>3863</v>
      </c>
      <c r="G92" s="14" t="s">
        <v>3864</v>
      </c>
      <c r="H92" s="14" t="s">
        <v>3865</v>
      </c>
      <c r="I92" s="14"/>
      <c r="J92" s="16" t="s">
        <v>51</v>
      </c>
      <c r="K92" s="14"/>
    </row>
    <row r="93" spans="1:11" s="20" customFormat="1" ht="42" customHeight="1">
      <c r="A93" s="13" t="s">
        <v>3866</v>
      </c>
      <c r="B93" s="14" t="s">
        <v>3857</v>
      </c>
      <c r="C93" s="14" t="s">
        <v>3867</v>
      </c>
      <c r="D93" s="15" t="s">
        <v>28</v>
      </c>
      <c r="E93" s="13" t="s">
        <v>45</v>
      </c>
      <c r="F93" s="14" t="s">
        <v>3868</v>
      </c>
      <c r="G93" s="14" t="s">
        <v>3869</v>
      </c>
      <c r="H93" s="14" t="s">
        <v>3870</v>
      </c>
      <c r="I93" s="14"/>
      <c r="J93" s="16" t="s">
        <v>51</v>
      </c>
      <c r="K93" s="14"/>
    </row>
    <row r="94" spans="1:11" s="21" customFormat="1" ht="42" customHeight="1">
      <c r="A94" s="17" t="s">
        <v>3871</v>
      </c>
      <c r="B94" s="18" t="s">
        <v>3857</v>
      </c>
      <c r="C94" s="18" t="s">
        <v>3872</v>
      </c>
      <c r="D94" s="19" t="s">
        <v>31</v>
      </c>
      <c r="E94" s="17" t="s">
        <v>46</v>
      </c>
      <c r="F94" s="18" t="s">
        <v>3873</v>
      </c>
      <c r="G94" s="18" t="s">
        <v>3874</v>
      </c>
      <c r="H94" s="18" t="s">
        <v>3875</v>
      </c>
      <c r="I94" s="18"/>
      <c r="J94" s="16" t="s">
        <v>51</v>
      </c>
      <c r="K94" s="18"/>
    </row>
    <row r="95" spans="1:11" s="20" customFormat="1" ht="42" customHeight="1">
      <c r="A95" s="13" t="s">
        <v>3876</v>
      </c>
      <c r="B95" s="14" t="s">
        <v>3857</v>
      </c>
      <c r="C95" s="14" t="s">
        <v>3877</v>
      </c>
      <c r="D95" s="15" t="s">
        <v>28</v>
      </c>
      <c r="E95" s="13" t="s">
        <v>46</v>
      </c>
      <c r="F95" s="14" t="s">
        <v>3878</v>
      </c>
      <c r="G95" s="14" t="s">
        <v>109</v>
      </c>
      <c r="H95" s="14" t="s">
        <v>3879</v>
      </c>
      <c r="I95" s="14"/>
      <c r="J95" s="16" t="s">
        <v>51</v>
      </c>
      <c r="K95" s="14"/>
    </row>
    <row r="96" spans="1:11" s="21" customFormat="1" ht="42" customHeight="1">
      <c r="A96" s="17" t="s">
        <v>3880</v>
      </c>
      <c r="B96" s="18" t="s">
        <v>3857</v>
      </c>
      <c r="C96" s="18" t="s">
        <v>3881</v>
      </c>
      <c r="D96" s="19" t="s">
        <v>31</v>
      </c>
      <c r="E96" s="17" t="s">
        <v>45</v>
      </c>
      <c r="F96" s="18" t="s">
        <v>3882</v>
      </c>
      <c r="G96" s="18" t="s">
        <v>3883</v>
      </c>
      <c r="H96" s="18" t="s">
        <v>3884</v>
      </c>
      <c r="I96" s="18"/>
      <c r="J96" s="16" t="s">
        <v>51</v>
      </c>
      <c r="K96" s="18"/>
    </row>
    <row r="97" spans="1:11" s="21" customFormat="1" ht="55.5" customHeight="1">
      <c r="A97" s="17" t="s">
        <v>3885</v>
      </c>
      <c r="B97" s="18" t="s">
        <v>3857</v>
      </c>
      <c r="C97" s="18" t="s">
        <v>3886</v>
      </c>
      <c r="D97" s="19" t="s">
        <v>31</v>
      </c>
      <c r="E97" s="17" t="s">
        <v>45</v>
      </c>
      <c r="F97" s="18" t="s">
        <v>3887</v>
      </c>
      <c r="G97" s="18" t="s">
        <v>3888</v>
      </c>
      <c r="H97" s="18" t="s">
        <v>3889</v>
      </c>
      <c r="I97" s="18"/>
      <c r="J97" s="16" t="s">
        <v>51</v>
      </c>
      <c r="K97" s="18"/>
    </row>
    <row r="98" spans="1:11" s="20" customFormat="1" ht="42" customHeight="1">
      <c r="A98" s="13" t="s">
        <v>3890</v>
      </c>
      <c r="B98" s="14" t="s">
        <v>3857</v>
      </c>
      <c r="C98" s="14" t="s">
        <v>3891</v>
      </c>
      <c r="D98" s="15" t="s">
        <v>28</v>
      </c>
      <c r="E98" s="13" t="s">
        <v>47</v>
      </c>
      <c r="F98" s="14" t="s">
        <v>3892</v>
      </c>
      <c r="G98" s="14" t="s">
        <v>109</v>
      </c>
      <c r="H98" s="14" t="s">
        <v>3893</v>
      </c>
      <c r="I98" s="14"/>
      <c r="J98" s="16" t="s">
        <v>51</v>
      </c>
      <c r="K98" s="14"/>
    </row>
    <row r="99" spans="1:11" s="20" customFormat="1" ht="55.5" customHeight="1">
      <c r="A99" s="13" t="s">
        <v>3894</v>
      </c>
      <c r="B99" s="14" t="s">
        <v>3857</v>
      </c>
      <c r="C99" s="14" t="s">
        <v>3895</v>
      </c>
      <c r="D99" s="15" t="s">
        <v>28</v>
      </c>
      <c r="E99" s="13" t="s">
        <v>46</v>
      </c>
      <c r="F99" s="14" t="s">
        <v>3896</v>
      </c>
      <c r="G99" s="14" t="s">
        <v>109</v>
      </c>
      <c r="H99" s="14" t="s">
        <v>3897</v>
      </c>
      <c r="I99" s="14"/>
      <c r="J99" s="16" t="s">
        <v>51</v>
      </c>
      <c r="K99" s="14"/>
    </row>
    <row r="100" spans="1:11" s="20" customFormat="1" ht="42" customHeight="1">
      <c r="A100" s="13" t="s">
        <v>3898</v>
      </c>
      <c r="B100" s="14" t="s">
        <v>3857</v>
      </c>
      <c r="C100" s="14" t="s">
        <v>3899</v>
      </c>
      <c r="D100" s="15" t="s">
        <v>28</v>
      </c>
      <c r="E100" s="13" t="s">
        <v>46</v>
      </c>
      <c r="F100" s="14" t="s">
        <v>3900</v>
      </c>
      <c r="G100" s="14" t="s">
        <v>109</v>
      </c>
      <c r="H100" s="14" t="s">
        <v>3901</v>
      </c>
      <c r="I100" s="14"/>
      <c r="J100" s="16" t="s">
        <v>51</v>
      </c>
      <c r="K100" s="14"/>
    </row>
    <row r="101" spans="1:11" s="20" customFormat="1" ht="27.75" customHeight="1">
      <c r="A101" s="13" t="s">
        <v>3902</v>
      </c>
      <c r="B101" s="14" t="s">
        <v>3857</v>
      </c>
      <c r="C101" s="14" t="s">
        <v>3903</v>
      </c>
      <c r="D101" s="15" t="s">
        <v>30</v>
      </c>
      <c r="E101" s="13" t="s">
        <v>47</v>
      </c>
      <c r="F101" s="14" t="s">
        <v>3904</v>
      </c>
      <c r="G101" s="14" t="s">
        <v>3905</v>
      </c>
      <c r="H101" s="14" t="s">
        <v>3906</v>
      </c>
      <c r="I101" s="14"/>
      <c r="J101" s="16" t="s">
        <v>51</v>
      </c>
      <c r="K101" s="14"/>
    </row>
    <row r="102" spans="1:11" s="21" customFormat="1" ht="42" customHeight="1">
      <c r="A102" s="17" t="s">
        <v>3907</v>
      </c>
      <c r="B102" s="18" t="s">
        <v>3857</v>
      </c>
      <c r="C102" s="18" t="s">
        <v>3908</v>
      </c>
      <c r="D102" s="19" t="s">
        <v>31</v>
      </c>
      <c r="E102" s="17" t="s">
        <v>46</v>
      </c>
      <c r="F102" s="18" t="s">
        <v>3909</v>
      </c>
      <c r="G102" s="18" t="s">
        <v>3910</v>
      </c>
      <c r="H102" s="18" t="s">
        <v>3911</v>
      </c>
      <c r="I102" s="18"/>
      <c r="J102" s="16" t="s">
        <v>51</v>
      </c>
      <c r="K102" s="18"/>
    </row>
    <row r="103" spans="1:11" s="21" customFormat="1" ht="42" customHeight="1">
      <c r="A103" s="17" t="s">
        <v>3912</v>
      </c>
      <c r="B103" s="18" t="s">
        <v>3857</v>
      </c>
      <c r="C103" s="18" t="s">
        <v>3913</v>
      </c>
      <c r="D103" s="19" t="s">
        <v>31</v>
      </c>
      <c r="E103" s="17" t="s">
        <v>46</v>
      </c>
      <c r="F103" s="18" t="s">
        <v>3914</v>
      </c>
      <c r="G103" s="18" t="s">
        <v>3915</v>
      </c>
      <c r="H103" s="18" t="s">
        <v>3916</v>
      </c>
      <c r="I103" s="18"/>
      <c r="J103" s="16" t="s">
        <v>51</v>
      </c>
      <c r="K103" s="18"/>
    </row>
    <row r="104" spans="1:11" s="20" customFormat="1" ht="42" customHeight="1">
      <c r="A104" s="13" t="s">
        <v>3917</v>
      </c>
      <c r="B104" s="14" t="s">
        <v>3857</v>
      </c>
      <c r="C104" s="14" t="s">
        <v>3918</v>
      </c>
      <c r="D104" s="15" t="s">
        <v>28</v>
      </c>
      <c r="E104" s="13" t="s">
        <v>47</v>
      </c>
      <c r="F104" s="14" t="s">
        <v>3919</v>
      </c>
      <c r="G104" s="14" t="s">
        <v>3920</v>
      </c>
      <c r="H104" s="14" t="s">
        <v>3921</v>
      </c>
      <c r="I104" s="14"/>
      <c r="J104" s="16" t="s">
        <v>51</v>
      </c>
      <c r="K104" s="14"/>
    </row>
    <row r="105" spans="1:11" s="21" customFormat="1" ht="27.75" customHeight="1">
      <c r="A105" s="17" t="s">
        <v>3922</v>
      </c>
      <c r="B105" s="18" t="s">
        <v>3923</v>
      </c>
      <c r="C105" s="18" t="s">
        <v>3924</v>
      </c>
      <c r="D105" s="19" t="s">
        <v>31</v>
      </c>
      <c r="E105" s="17" t="s">
        <v>46</v>
      </c>
      <c r="F105" s="18" t="s">
        <v>3925</v>
      </c>
      <c r="G105" s="18" t="s">
        <v>3926</v>
      </c>
      <c r="H105" s="18" t="s">
        <v>3927</v>
      </c>
      <c r="I105" s="18"/>
      <c r="J105" s="16" t="s">
        <v>51</v>
      </c>
      <c r="K105" s="18"/>
    </row>
    <row r="106" spans="1:11" s="21" customFormat="1" ht="27.75" customHeight="1">
      <c r="A106" s="17" t="s">
        <v>3928</v>
      </c>
      <c r="B106" s="18" t="s">
        <v>3923</v>
      </c>
      <c r="C106" s="18" t="s">
        <v>3929</v>
      </c>
      <c r="D106" s="19" t="s">
        <v>31</v>
      </c>
      <c r="E106" s="17" t="s">
        <v>45</v>
      </c>
      <c r="F106" s="18" t="s">
        <v>3930</v>
      </c>
      <c r="G106" s="18" t="s">
        <v>3931</v>
      </c>
      <c r="H106" s="18" t="s">
        <v>3932</v>
      </c>
      <c r="I106" s="18"/>
      <c r="J106" s="16" t="s">
        <v>51</v>
      </c>
      <c r="K106" s="18"/>
    </row>
    <row r="107" spans="1:11" s="21" customFormat="1" ht="27.75" customHeight="1">
      <c r="A107" s="17" t="s">
        <v>3933</v>
      </c>
      <c r="B107" s="18" t="s">
        <v>3923</v>
      </c>
      <c r="C107" s="18" t="s">
        <v>3934</v>
      </c>
      <c r="D107" s="19" t="s">
        <v>31</v>
      </c>
      <c r="E107" s="17" t="s">
        <v>45</v>
      </c>
      <c r="F107" s="18" t="s">
        <v>3935</v>
      </c>
      <c r="G107" s="18" t="s">
        <v>3936</v>
      </c>
      <c r="H107" s="18" t="s">
        <v>3937</v>
      </c>
      <c r="I107" s="18"/>
      <c r="J107" s="16" t="s">
        <v>51</v>
      </c>
      <c r="K107" s="18"/>
    </row>
    <row r="108" spans="1:11" s="20" customFormat="1" ht="27.75" customHeight="1">
      <c r="A108" s="13" t="s">
        <v>3938</v>
      </c>
      <c r="B108" s="14" t="s">
        <v>3923</v>
      </c>
      <c r="C108" s="14" t="s">
        <v>3939</v>
      </c>
      <c r="D108" s="15" t="s">
        <v>30</v>
      </c>
      <c r="E108" s="13" t="s">
        <v>45</v>
      </c>
      <c r="F108" s="14" t="s">
        <v>3940</v>
      </c>
      <c r="G108" s="14" t="s">
        <v>3941</v>
      </c>
      <c r="H108" s="14" t="s">
        <v>3942</v>
      </c>
      <c r="I108" s="14"/>
      <c r="J108" s="16" t="s">
        <v>51</v>
      </c>
      <c r="K108" s="14"/>
    </row>
    <row r="109" spans="1:11" s="20" customFormat="1" ht="27.75" customHeight="1">
      <c r="A109" s="13" t="s">
        <v>3943</v>
      </c>
      <c r="B109" s="14" t="s">
        <v>3923</v>
      </c>
      <c r="C109" s="14" t="s">
        <v>3944</v>
      </c>
      <c r="D109" s="15" t="s">
        <v>30</v>
      </c>
      <c r="E109" s="13" t="s">
        <v>45</v>
      </c>
      <c r="F109" s="14" t="s">
        <v>3945</v>
      </c>
      <c r="G109" s="14" t="s">
        <v>3946</v>
      </c>
      <c r="H109" s="14" t="s">
        <v>3947</v>
      </c>
      <c r="I109" s="14"/>
      <c r="J109" s="16" t="s">
        <v>51</v>
      </c>
      <c r="K109" s="14"/>
    </row>
    <row r="110" spans="1:11" s="20" customFormat="1" ht="27.75" customHeight="1">
      <c r="A110" s="13" t="s">
        <v>3948</v>
      </c>
      <c r="B110" s="14" t="s">
        <v>3923</v>
      </c>
      <c r="C110" s="14" t="s">
        <v>3949</v>
      </c>
      <c r="D110" s="15" t="s">
        <v>30</v>
      </c>
      <c r="E110" s="13" t="s">
        <v>45</v>
      </c>
      <c r="F110" s="14" t="s">
        <v>3950</v>
      </c>
      <c r="G110" s="14" t="s">
        <v>3951</v>
      </c>
      <c r="H110" s="14" t="s">
        <v>3952</v>
      </c>
      <c r="I110" s="14"/>
      <c r="J110" s="16" t="s">
        <v>51</v>
      </c>
      <c r="K110" s="14"/>
    </row>
    <row r="111" spans="1:11" s="21" customFormat="1" ht="27.75" customHeight="1">
      <c r="A111" s="17" t="s">
        <v>3953</v>
      </c>
      <c r="B111" s="18" t="s">
        <v>3923</v>
      </c>
      <c r="C111" s="18" t="s">
        <v>3954</v>
      </c>
      <c r="D111" s="19" t="s">
        <v>31</v>
      </c>
      <c r="E111" s="17" t="s">
        <v>46</v>
      </c>
      <c r="F111" s="18" t="s">
        <v>3955</v>
      </c>
      <c r="G111" s="18" t="s">
        <v>3956</v>
      </c>
      <c r="H111" s="18" t="s">
        <v>3957</v>
      </c>
      <c r="I111" s="18"/>
      <c r="J111" s="16" t="s">
        <v>51</v>
      </c>
      <c r="K111" s="18"/>
    </row>
    <row r="112" spans="1:11" s="20" customFormat="1" ht="55.5" customHeight="1">
      <c r="A112" s="13" t="s">
        <v>3958</v>
      </c>
      <c r="B112" s="14" t="s">
        <v>3923</v>
      </c>
      <c r="C112" s="14" t="s">
        <v>3959</v>
      </c>
      <c r="D112" s="15" t="s">
        <v>28</v>
      </c>
      <c r="E112" s="13" t="s">
        <v>46</v>
      </c>
      <c r="F112" s="14" t="s">
        <v>3960</v>
      </c>
      <c r="G112" s="14" t="s">
        <v>3961</v>
      </c>
      <c r="H112" s="14" t="s">
        <v>3962</v>
      </c>
      <c r="I112" s="14"/>
      <c r="J112" s="16" t="s">
        <v>51</v>
      </c>
      <c r="K112" s="14"/>
    </row>
    <row r="113" spans="1:11" s="20" customFormat="1" ht="42" customHeight="1">
      <c r="A113" s="13" t="s">
        <v>3963</v>
      </c>
      <c r="B113" s="14" t="s">
        <v>3923</v>
      </c>
      <c r="C113" s="14" t="s">
        <v>3964</v>
      </c>
      <c r="D113" s="15" t="s">
        <v>30</v>
      </c>
      <c r="E113" s="13" t="s">
        <v>45</v>
      </c>
      <c r="F113" s="14" t="s">
        <v>3965</v>
      </c>
      <c r="G113" s="14" t="s">
        <v>3966</v>
      </c>
      <c r="H113" s="14" t="s">
        <v>3967</v>
      </c>
      <c r="I113" s="14"/>
      <c r="J113" s="16" t="s">
        <v>51</v>
      </c>
      <c r="K113" s="14"/>
    </row>
    <row r="114" spans="1:11" s="20" customFormat="1" ht="42" customHeight="1">
      <c r="A114" s="13" t="s">
        <v>3968</v>
      </c>
      <c r="B114" s="14" t="s">
        <v>3857</v>
      </c>
      <c r="C114" s="14" t="s">
        <v>3969</v>
      </c>
      <c r="D114" s="15" t="s">
        <v>28</v>
      </c>
      <c r="E114" s="13" t="s">
        <v>45</v>
      </c>
      <c r="F114" s="14" t="s">
        <v>3970</v>
      </c>
      <c r="G114" s="14" t="s">
        <v>3971</v>
      </c>
      <c r="H114" s="14" t="s">
        <v>3972</v>
      </c>
      <c r="I114" s="14"/>
      <c r="J114" s="16" t="s">
        <v>51</v>
      </c>
      <c r="K114" s="14"/>
    </row>
    <row r="115" spans="1:11" s="20" customFormat="1" ht="27.75" customHeight="1">
      <c r="A115" s="13" t="s">
        <v>3973</v>
      </c>
      <c r="B115" s="14" t="s">
        <v>3857</v>
      </c>
      <c r="C115" s="14" t="s">
        <v>3974</v>
      </c>
      <c r="D115" s="15" t="s">
        <v>28</v>
      </c>
      <c r="E115" s="13" t="s">
        <v>45</v>
      </c>
      <c r="F115" s="14" t="s">
        <v>3975</v>
      </c>
      <c r="G115" s="14" t="s">
        <v>3976</v>
      </c>
      <c r="H115" s="14" t="s">
        <v>3977</v>
      </c>
      <c r="I115" s="14"/>
      <c r="J115" s="16" t="s">
        <v>51</v>
      </c>
      <c r="K115" s="14"/>
    </row>
    <row r="116" spans="1:11" s="20" customFormat="1" ht="42" customHeight="1">
      <c r="A116" s="13" t="s">
        <v>3978</v>
      </c>
      <c r="B116" s="14" t="s">
        <v>3857</v>
      </c>
      <c r="C116" s="14" t="s">
        <v>3979</v>
      </c>
      <c r="D116" s="15" t="s">
        <v>28</v>
      </c>
      <c r="E116" s="13" t="s">
        <v>46</v>
      </c>
      <c r="F116" s="14" t="s">
        <v>3980</v>
      </c>
      <c r="G116" s="14" t="s">
        <v>3981</v>
      </c>
      <c r="H116" s="14" t="s">
        <v>3982</v>
      </c>
      <c r="I116" s="14"/>
      <c r="J116" s="16" t="s">
        <v>51</v>
      </c>
      <c r="K116" s="14"/>
    </row>
    <row r="117" spans="1:11" s="20" customFormat="1" ht="42" customHeight="1">
      <c r="A117" s="13" t="s">
        <v>3983</v>
      </c>
      <c r="B117" s="14" t="s">
        <v>3984</v>
      </c>
      <c r="C117" s="14" t="s">
        <v>3985</v>
      </c>
      <c r="D117" s="15" t="s">
        <v>28</v>
      </c>
      <c r="E117" s="13" t="s">
        <v>45</v>
      </c>
      <c r="F117" s="14" t="s">
        <v>3986</v>
      </c>
      <c r="G117" s="14" t="s">
        <v>3987</v>
      </c>
      <c r="H117" s="14" t="s">
        <v>3988</v>
      </c>
      <c r="I117" s="14"/>
      <c r="J117" s="16" t="s">
        <v>51</v>
      </c>
      <c r="K117" s="14"/>
    </row>
    <row r="118" spans="1:11" s="21" customFormat="1" ht="27.75" customHeight="1">
      <c r="A118" s="17" t="s">
        <v>3989</v>
      </c>
      <c r="B118" s="18" t="s">
        <v>3984</v>
      </c>
      <c r="C118" s="18" t="s">
        <v>3990</v>
      </c>
      <c r="D118" s="19" t="s">
        <v>31</v>
      </c>
      <c r="E118" s="17" t="s">
        <v>45</v>
      </c>
      <c r="F118" s="18" t="s">
        <v>3991</v>
      </c>
      <c r="G118" s="18" t="s">
        <v>3992</v>
      </c>
      <c r="H118" s="18" t="s">
        <v>3993</v>
      </c>
      <c r="I118" s="18"/>
      <c r="J118" s="16" t="s">
        <v>51</v>
      </c>
      <c r="K118" s="18"/>
    </row>
    <row r="119" spans="1:11" s="21" customFormat="1" ht="27.75" customHeight="1">
      <c r="A119" s="17" t="s">
        <v>3994</v>
      </c>
      <c r="B119" s="18" t="s">
        <v>3984</v>
      </c>
      <c r="C119" s="18" t="s">
        <v>3995</v>
      </c>
      <c r="D119" s="19" t="s">
        <v>31</v>
      </c>
      <c r="E119" s="17" t="s">
        <v>45</v>
      </c>
      <c r="F119" s="18" t="s">
        <v>3996</v>
      </c>
      <c r="G119" s="18" t="s">
        <v>3997</v>
      </c>
      <c r="H119" s="18" t="s">
        <v>3998</v>
      </c>
      <c r="I119" s="18"/>
      <c r="J119" s="16" t="s">
        <v>51</v>
      </c>
      <c r="K119" s="18"/>
    </row>
    <row r="120" spans="1:11" s="20" customFormat="1" ht="42" customHeight="1">
      <c r="A120" s="13" t="s">
        <v>3999</v>
      </c>
      <c r="B120" s="14" t="s">
        <v>3984</v>
      </c>
      <c r="C120" s="14" t="s">
        <v>4000</v>
      </c>
      <c r="D120" s="15" t="s">
        <v>28</v>
      </c>
      <c r="E120" s="13" t="s">
        <v>46</v>
      </c>
      <c r="F120" s="14" t="s">
        <v>4001</v>
      </c>
      <c r="G120" s="14" t="s">
        <v>109</v>
      </c>
      <c r="H120" s="14" t="s">
        <v>4002</v>
      </c>
      <c r="I120" s="14"/>
      <c r="J120" s="16" t="s">
        <v>51</v>
      </c>
      <c r="K120" s="14"/>
    </row>
    <row r="121" spans="1:11" s="20" customFormat="1" ht="42" customHeight="1">
      <c r="A121" s="13" t="s">
        <v>4003</v>
      </c>
      <c r="B121" s="14" t="s">
        <v>3984</v>
      </c>
      <c r="C121" s="14" t="s">
        <v>4004</v>
      </c>
      <c r="D121" s="15" t="s">
        <v>28</v>
      </c>
      <c r="E121" s="13" t="s">
        <v>45</v>
      </c>
      <c r="F121" s="14" t="s">
        <v>4005</v>
      </c>
      <c r="G121" s="14" t="s">
        <v>4006</v>
      </c>
      <c r="H121" s="14" t="s">
        <v>4007</v>
      </c>
      <c r="I121" s="14"/>
      <c r="J121" s="16" t="s">
        <v>51</v>
      </c>
      <c r="K121" s="14"/>
    </row>
    <row r="122" spans="1:11" s="21" customFormat="1" ht="55.5" customHeight="1">
      <c r="A122" s="17" t="s">
        <v>4008</v>
      </c>
      <c r="B122" s="18" t="s">
        <v>3984</v>
      </c>
      <c r="C122" s="18" t="s">
        <v>4009</v>
      </c>
      <c r="D122" s="19" t="s">
        <v>31</v>
      </c>
      <c r="E122" s="17" t="s">
        <v>45</v>
      </c>
      <c r="F122" s="18" t="s">
        <v>4010</v>
      </c>
      <c r="G122" s="18" t="s">
        <v>4011</v>
      </c>
      <c r="H122" s="18" t="s">
        <v>4012</v>
      </c>
      <c r="I122" s="18"/>
      <c r="J122" s="16" t="s">
        <v>51</v>
      </c>
      <c r="K122" s="18"/>
    </row>
    <row r="123" spans="1:11" s="21" customFormat="1" ht="27.75" customHeight="1">
      <c r="A123" s="17" t="s">
        <v>4013</v>
      </c>
      <c r="B123" s="18" t="s">
        <v>3984</v>
      </c>
      <c r="C123" s="18" t="s">
        <v>4014</v>
      </c>
      <c r="D123" s="19" t="s">
        <v>31</v>
      </c>
      <c r="E123" s="17" t="s">
        <v>46</v>
      </c>
      <c r="F123" s="18" t="s">
        <v>4015</v>
      </c>
      <c r="G123" s="18" t="s">
        <v>4016</v>
      </c>
      <c r="H123" s="18" t="s">
        <v>4017</v>
      </c>
      <c r="I123" s="18"/>
      <c r="J123" s="16" t="s">
        <v>51</v>
      </c>
      <c r="K123" s="18"/>
    </row>
    <row r="124" spans="1:11" s="20" customFormat="1" ht="55.5" customHeight="1">
      <c r="A124" s="13" t="s">
        <v>4018</v>
      </c>
      <c r="B124" s="14" t="s">
        <v>3984</v>
      </c>
      <c r="C124" s="14" t="s">
        <v>4019</v>
      </c>
      <c r="D124" s="15" t="s">
        <v>30</v>
      </c>
      <c r="E124" s="13" t="s">
        <v>46</v>
      </c>
      <c r="F124" s="14" t="s">
        <v>4020</v>
      </c>
      <c r="G124" s="14" t="s">
        <v>109</v>
      </c>
      <c r="H124" s="14" t="s">
        <v>4021</v>
      </c>
      <c r="I124" s="14"/>
      <c r="J124" s="16" t="s">
        <v>51</v>
      </c>
      <c r="K124" s="14"/>
    </row>
    <row r="125" spans="1:11" s="20" customFormat="1" ht="42" customHeight="1">
      <c r="A125" s="13" t="s">
        <v>4022</v>
      </c>
      <c r="B125" s="14" t="s">
        <v>3984</v>
      </c>
      <c r="C125" s="14" t="s">
        <v>4023</v>
      </c>
      <c r="D125" s="15" t="s">
        <v>28</v>
      </c>
      <c r="E125" s="13" t="s">
        <v>45</v>
      </c>
      <c r="F125" s="14" t="s">
        <v>4024</v>
      </c>
      <c r="G125" s="14" t="s">
        <v>4025</v>
      </c>
      <c r="H125" s="14" t="s">
        <v>4026</v>
      </c>
      <c r="I125" s="14"/>
      <c r="J125" s="16" t="s">
        <v>51</v>
      </c>
      <c r="K125" s="14"/>
    </row>
    <row r="126" spans="1:11" s="20" customFormat="1" ht="42" customHeight="1">
      <c r="A126" s="13" t="s">
        <v>4027</v>
      </c>
      <c r="B126" s="14" t="s">
        <v>3984</v>
      </c>
      <c r="C126" s="14" t="s">
        <v>4028</v>
      </c>
      <c r="D126" s="15" t="s">
        <v>30</v>
      </c>
      <c r="E126" s="13" t="s">
        <v>45</v>
      </c>
      <c r="F126" s="14" t="s">
        <v>4029</v>
      </c>
      <c r="G126" s="14" t="s">
        <v>109</v>
      </c>
      <c r="H126" s="14" t="s">
        <v>4030</v>
      </c>
      <c r="I126" s="14"/>
      <c r="J126" s="16" t="s">
        <v>51</v>
      </c>
      <c r="K126" s="14"/>
    </row>
    <row r="127" spans="1:11" s="20" customFormat="1" ht="42" customHeight="1">
      <c r="A127" s="13" t="s">
        <v>4031</v>
      </c>
      <c r="B127" s="14" t="s">
        <v>3984</v>
      </c>
      <c r="C127" s="14" t="s">
        <v>4032</v>
      </c>
      <c r="D127" s="15" t="s">
        <v>30</v>
      </c>
      <c r="E127" s="13" t="s">
        <v>46</v>
      </c>
      <c r="F127" s="14" t="s">
        <v>4033</v>
      </c>
      <c r="G127" s="14" t="s">
        <v>109</v>
      </c>
      <c r="H127" s="14" t="s">
        <v>4034</v>
      </c>
      <c r="I127" s="14"/>
      <c r="J127" s="16" t="s">
        <v>51</v>
      </c>
      <c r="K127" s="14"/>
    </row>
    <row r="128" spans="1:11" s="20" customFormat="1" ht="69.75" customHeight="1">
      <c r="A128" s="13" t="s">
        <v>4035</v>
      </c>
      <c r="B128" s="14" t="s">
        <v>3984</v>
      </c>
      <c r="C128" s="14" t="s">
        <v>4036</v>
      </c>
      <c r="D128" s="15" t="s">
        <v>28</v>
      </c>
      <c r="E128" s="13" t="s">
        <v>45</v>
      </c>
      <c r="F128" s="14" t="s">
        <v>4037</v>
      </c>
      <c r="G128" s="14" t="s">
        <v>4038</v>
      </c>
      <c r="H128" s="14" t="s">
        <v>4039</v>
      </c>
      <c r="I128" s="14"/>
      <c r="J128" s="16" t="s">
        <v>51</v>
      </c>
      <c r="K128" s="14"/>
    </row>
    <row r="129" spans="1:11" s="20" customFormat="1" ht="42" customHeight="1">
      <c r="A129" s="13" t="s">
        <v>4040</v>
      </c>
      <c r="B129" s="14" t="s">
        <v>3984</v>
      </c>
      <c r="C129" s="14" t="s">
        <v>4041</v>
      </c>
      <c r="D129" s="15" t="s">
        <v>28</v>
      </c>
      <c r="E129" s="13" t="s">
        <v>45</v>
      </c>
      <c r="F129" s="14" t="s">
        <v>4042</v>
      </c>
      <c r="G129" s="14" t="s">
        <v>4043</v>
      </c>
      <c r="H129" s="14" t="s">
        <v>4044</v>
      </c>
      <c r="I129" s="14"/>
      <c r="J129" s="16" t="s">
        <v>51</v>
      </c>
      <c r="K129" s="14"/>
    </row>
    <row r="130" spans="1:11" s="21" customFormat="1" ht="42" customHeight="1">
      <c r="A130" s="17" t="s">
        <v>4045</v>
      </c>
      <c r="B130" s="18" t="s">
        <v>3984</v>
      </c>
      <c r="C130" s="18" t="s">
        <v>4046</v>
      </c>
      <c r="D130" s="19" t="s">
        <v>31</v>
      </c>
      <c r="E130" s="17" t="s">
        <v>46</v>
      </c>
      <c r="F130" s="18" t="s">
        <v>4047</v>
      </c>
      <c r="G130" s="18" t="s">
        <v>4048</v>
      </c>
      <c r="H130" s="18" t="s">
        <v>4049</v>
      </c>
      <c r="I130" s="18"/>
      <c r="J130" s="16" t="s">
        <v>51</v>
      </c>
      <c r="K130" s="18"/>
    </row>
    <row r="131" spans="1:11" s="21" customFormat="1" ht="55.5" customHeight="1">
      <c r="A131" s="17" t="s">
        <v>4050</v>
      </c>
      <c r="B131" s="18" t="s">
        <v>3984</v>
      </c>
      <c r="C131" s="18" t="s">
        <v>4051</v>
      </c>
      <c r="D131" s="19" t="s">
        <v>31</v>
      </c>
      <c r="E131" s="17" t="s">
        <v>46</v>
      </c>
      <c r="F131" s="18" t="s">
        <v>4052</v>
      </c>
      <c r="G131" s="18" t="s">
        <v>4053</v>
      </c>
      <c r="H131" s="18" t="s">
        <v>4054</v>
      </c>
      <c r="I131" s="18"/>
      <c r="J131" s="16" t="s">
        <v>51</v>
      </c>
      <c r="K131" s="18"/>
    </row>
    <row r="132" spans="1:11" s="20" customFormat="1" ht="42" customHeight="1">
      <c r="A132" s="13" t="s">
        <v>4055</v>
      </c>
      <c r="B132" s="14" t="s">
        <v>3984</v>
      </c>
      <c r="C132" s="14" t="s">
        <v>4056</v>
      </c>
      <c r="D132" s="15" t="s">
        <v>28</v>
      </c>
      <c r="E132" s="13" t="s">
        <v>47</v>
      </c>
      <c r="F132" s="14" t="s">
        <v>4057</v>
      </c>
      <c r="G132" s="14" t="s">
        <v>109</v>
      </c>
      <c r="H132" s="14" t="s">
        <v>4058</v>
      </c>
      <c r="I132" s="14"/>
      <c r="J132" s="16" t="s">
        <v>51</v>
      </c>
      <c r="K132" s="14"/>
    </row>
  </sheetData>
  <autoFilter ref="A1:K132" xr:uid="{00000000-0009-0000-0000-000009000000}"/>
  <dataValidations count="3">
    <dataValidation type="list" allowBlank="1" sqref="D2:D132" xr:uid="{00000000-0002-0000-0900-000000000000}">
      <formula1>"Positive,Negative,Functional - Positive,Functional - Negative,Validation - Positive,Validation - Negative,Defect - Functional,Defect - Validation"</formula1>
      <formula2>0</formula2>
    </dataValidation>
    <dataValidation type="list" allowBlank="1" sqref="E2:E132" xr:uid="{00000000-0002-0000-0900-000001000000}">
      <formula1>"High,Medium,Low"</formula1>
      <formula2>0</formula2>
    </dataValidation>
    <dataValidation type="list" allowBlank="1" sqref="J2:J132" xr:uid="{00000000-0002-0000-09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84"/>
  <sheetViews>
    <sheetView zoomScaleNormal="100" workbookViewId="0">
      <selection activeCell="E1" sqref="E1"/>
    </sheetView>
  </sheetViews>
  <sheetFormatPr defaultColWidth="35.4257812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42" customHeight="1">
      <c r="A2" s="13" t="s">
        <v>4059</v>
      </c>
      <c r="B2" s="14" t="s">
        <v>4060</v>
      </c>
      <c r="C2" s="14" t="s">
        <v>4061</v>
      </c>
      <c r="D2" s="15" t="s">
        <v>43</v>
      </c>
      <c r="E2" s="13" t="s">
        <v>45</v>
      </c>
      <c r="F2" s="14" t="s">
        <v>4062</v>
      </c>
      <c r="G2" s="14" t="s">
        <v>109</v>
      </c>
      <c r="H2" s="14" t="s">
        <v>4063</v>
      </c>
      <c r="I2" s="14"/>
      <c r="J2" s="16" t="s">
        <v>51</v>
      </c>
      <c r="K2" s="14"/>
    </row>
    <row r="3" spans="1:11" ht="42" customHeight="1">
      <c r="A3" s="13" t="s">
        <v>4064</v>
      </c>
      <c r="B3" s="14" t="s">
        <v>4060</v>
      </c>
      <c r="C3" s="14" t="s">
        <v>4065</v>
      </c>
      <c r="D3" s="15" t="s">
        <v>43</v>
      </c>
      <c r="E3" s="13" t="s">
        <v>46</v>
      </c>
      <c r="F3" s="14" t="s">
        <v>4066</v>
      </c>
      <c r="G3" s="14" t="s">
        <v>4067</v>
      </c>
      <c r="H3" s="14" t="s">
        <v>4068</v>
      </c>
      <c r="I3" s="14"/>
      <c r="J3" s="16" t="s">
        <v>51</v>
      </c>
      <c r="K3" s="14"/>
    </row>
    <row r="4" spans="1:11" ht="97.5" customHeight="1">
      <c r="A4" s="13" t="s">
        <v>4069</v>
      </c>
      <c r="B4" s="14" t="s">
        <v>4060</v>
      </c>
      <c r="C4" s="14" t="s">
        <v>4070</v>
      </c>
      <c r="D4" s="15" t="s">
        <v>43</v>
      </c>
      <c r="E4" s="13" t="s">
        <v>45</v>
      </c>
      <c r="F4" s="14" t="s">
        <v>4071</v>
      </c>
      <c r="G4" s="14" t="s">
        <v>4072</v>
      </c>
      <c r="H4" s="14" t="s">
        <v>4073</v>
      </c>
      <c r="I4" s="14"/>
      <c r="J4" s="16" t="s">
        <v>51</v>
      </c>
      <c r="K4" s="14" t="s">
        <v>4074</v>
      </c>
    </row>
    <row r="5" spans="1:11" ht="42" customHeight="1">
      <c r="A5" s="13" t="s">
        <v>4075</v>
      </c>
      <c r="B5" s="14" t="s">
        <v>4060</v>
      </c>
      <c r="C5" s="14" t="s">
        <v>4076</v>
      </c>
      <c r="D5" s="15" t="s">
        <v>43</v>
      </c>
      <c r="E5" s="13" t="s">
        <v>46</v>
      </c>
      <c r="F5" s="14" t="s">
        <v>4077</v>
      </c>
      <c r="G5" s="14" t="s">
        <v>4078</v>
      </c>
      <c r="H5" s="14" t="s">
        <v>4079</v>
      </c>
      <c r="I5" s="14"/>
      <c r="J5" s="16" t="s">
        <v>51</v>
      </c>
      <c r="K5" s="14"/>
    </row>
    <row r="6" spans="1:11" ht="97.5" customHeight="1">
      <c r="A6" s="13" t="s">
        <v>4080</v>
      </c>
      <c r="B6" s="14" t="s">
        <v>4060</v>
      </c>
      <c r="C6" s="14" t="s">
        <v>4081</v>
      </c>
      <c r="D6" s="15" t="s">
        <v>43</v>
      </c>
      <c r="E6" s="13" t="s">
        <v>46</v>
      </c>
      <c r="F6" s="14" t="s">
        <v>4082</v>
      </c>
      <c r="G6" s="14" t="s">
        <v>4083</v>
      </c>
      <c r="H6" s="14" t="s">
        <v>4084</v>
      </c>
      <c r="I6" s="14"/>
      <c r="J6" s="16" t="s">
        <v>51</v>
      </c>
      <c r="K6" s="14" t="s">
        <v>4074</v>
      </c>
    </row>
    <row r="7" spans="1:11" ht="97.5" customHeight="1">
      <c r="A7" s="17" t="s">
        <v>4085</v>
      </c>
      <c r="B7" s="18" t="s">
        <v>4060</v>
      </c>
      <c r="C7" s="18" t="s">
        <v>4086</v>
      </c>
      <c r="D7" s="19" t="s">
        <v>44</v>
      </c>
      <c r="E7" s="17" t="s">
        <v>46</v>
      </c>
      <c r="F7" s="18" t="s">
        <v>4087</v>
      </c>
      <c r="G7" s="18" t="s">
        <v>4088</v>
      </c>
      <c r="H7" s="18" t="s">
        <v>4089</v>
      </c>
      <c r="I7" s="18"/>
      <c r="J7" s="16" t="s">
        <v>51</v>
      </c>
      <c r="K7" s="18" t="s">
        <v>4074</v>
      </c>
    </row>
    <row r="8" spans="1:11" ht="55.5" customHeight="1">
      <c r="A8" s="13" t="s">
        <v>4090</v>
      </c>
      <c r="B8" s="14" t="s">
        <v>4060</v>
      </c>
      <c r="C8" s="14" t="s">
        <v>4091</v>
      </c>
      <c r="D8" s="15" t="s">
        <v>43</v>
      </c>
      <c r="E8" s="13" t="s">
        <v>45</v>
      </c>
      <c r="F8" s="14" t="s">
        <v>4092</v>
      </c>
      <c r="G8" s="14" t="s">
        <v>109</v>
      </c>
      <c r="H8" s="14" t="s">
        <v>4093</v>
      </c>
      <c r="I8" s="14"/>
      <c r="J8" s="16" t="s">
        <v>51</v>
      </c>
      <c r="K8" s="14" t="s">
        <v>4094</v>
      </c>
    </row>
    <row r="9" spans="1:11" ht="55.5" customHeight="1">
      <c r="A9" s="13" t="s">
        <v>4095</v>
      </c>
      <c r="B9" s="14" t="s">
        <v>4060</v>
      </c>
      <c r="C9" s="14" t="s">
        <v>4096</v>
      </c>
      <c r="D9" s="15" t="s">
        <v>43</v>
      </c>
      <c r="E9" s="13" t="s">
        <v>47</v>
      </c>
      <c r="F9" s="14" t="s">
        <v>4097</v>
      </c>
      <c r="G9" s="14" t="s">
        <v>109</v>
      </c>
      <c r="H9" s="14" t="s">
        <v>4098</v>
      </c>
      <c r="I9" s="14"/>
      <c r="J9" s="16" t="s">
        <v>51</v>
      </c>
      <c r="K9" s="14"/>
    </row>
    <row r="10" spans="1:11" ht="55.5" customHeight="1">
      <c r="A10" s="13" t="s">
        <v>4099</v>
      </c>
      <c r="B10" s="14" t="s">
        <v>4100</v>
      </c>
      <c r="C10" s="14" t="s">
        <v>4101</v>
      </c>
      <c r="D10" s="15" t="s">
        <v>43</v>
      </c>
      <c r="E10" s="13" t="s">
        <v>45</v>
      </c>
      <c r="F10" s="14" t="s">
        <v>4102</v>
      </c>
      <c r="G10" s="14" t="s">
        <v>109</v>
      </c>
      <c r="H10" s="14" t="s">
        <v>4103</v>
      </c>
      <c r="I10" s="14"/>
      <c r="J10" s="16" t="s">
        <v>51</v>
      </c>
      <c r="K10" s="14"/>
    </row>
    <row r="11" spans="1:11" ht="69.75" customHeight="1">
      <c r="A11" s="13" t="s">
        <v>4104</v>
      </c>
      <c r="B11" s="14" t="s">
        <v>4100</v>
      </c>
      <c r="C11" s="14" t="s">
        <v>4105</v>
      </c>
      <c r="D11" s="15" t="s">
        <v>43</v>
      </c>
      <c r="E11" s="13" t="s">
        <v>45</v>
      </c>
      <c r="F11" s="14" t="s">
        <v>4106</v>
      </c>
      <c r="G11" s="14" t="s">
        <v>4107</v>
      </c>
      <c r="H11" s="14" t="s">
        <v>4108</v>
      </c>
      <c r="I11" s="14"/>
      <c r="J11" s="16" t="s">
        <v>51</v>
      </c>
      <c r="K11" s="14"/>
    </row>
    <row r="12" spans="1:11" ht="97.5" customHeight="1">
      <c r="A12" s="13" t="s">
        <v>4109</v>
      </c>
      <c r="B12" s="14" t="s">
        <v>4100</v>
      </c>
      <c r="C12" s="14" t="s">
        <v>4110</v>
      </c>
      <c r="D12" s="15" t="s">
        <v>43</v>
      </c>
      <c r="E12" s="13" t="s">
        <v>45</v>
      </c>
      <c r="F12" s="14" t="s">
        <v>4111</v>
      </c>
      <c r="G12" s="14" t="s">
        <v>4112</v>
      </c>
      <c r="H12" s="14" t="s">
        <v>4113</v>
      </c>
      <c r="I12" s="14"/>
      <c r="J12" s="16" t="s">
        <v>51</v>
      </c>
      <c r="K12" s="14" t="s">
        <v>4074</v>
      </c>
    </row>
    <row r="13" spans="1:11" ht="97.5" customHeight="1">
      <c r="A13" s="17" t="s">
        <v>4114</v>
      </c>
      <c r="B13" s="18" t="s">
        <v>4100</v>
      </c>
      <c r="C13" s="18" t="s">
        <v>4115</v>
      </c>
      <c r="D13" s="19" t="s">
        <v>44</v>
      </c>
      <c r="E13" s="17" t="s">
        <v>46</v>
      </c>
      <c r="F13" s="18" t="s">
        <v>4116</v>
      </c>
      <c r="G13" s="18" t="s">
        <v>4117</v>
      </c>
      <c r="H13" s="18" t="s">
        <v>4118</v>
      </c>
      <c r="I13" s="18"/>
      <c r="J13" s="16" t="s">
        <v>51</v>
      </c>
      <c r="K13" s="18" t="s">
        <v>4074</v>
      </c>
    </row>
    <row r="14" spans="1:11" ht="97.5" customHeight="1">
      <c r="A14" s="13" t="s">
        <v>1470</v>
      </c>
      <c r="B14" s="14" t="s">
        <v>4119</v>
      </c>
      <c r="C14" s="14" t="s">
        <v>4120</v>
      </c>
      <c r="D14" s="15" t="s">
        <v>43</v>
      </c>
      <c r="E14" s="13" t="s">
        <v>46</v>
      </c>
      <c r="F14" s="14" t="s">
        <v>4121</v>
      </c>
      <c r="G14" s="14" t="s">
        <v>4122</v>
      </c>
      <c r="H14" s="14" t="s">
        <v>4123</v>
      </c>
      <c r="I14" s="14"/>
      <c r="J14" s="16" t="s">
        <v>51</v>
      </c>
      <c r="K14" s="14" t="s">
        <v>4074</v>
      </c>
    </row>
    <row r="15" spans="1:11" ht="97.5" customHeight="1">
      <c r="A15" s="17" t="s">
        <v>1475</v>
      </c>
      <c r="B15" s="18" t="s">
        <v>4119</v>
      </c>
      <c r="C15" s="18" t="s">
        <v>4124</v>
      </c>
      <c r="D15" s="19" t="s">
        <v>44</v>
      </c>
      <c r="E15" s="17" t="s">
        <v>46</v>
      </c>
      <c r="F15" s="18" t="s">
        <v>4125</v>
      </c>
      <c r="G15" s="18" t="s">
        <v>4126</v>
      </c>
      <c r="H15" s="18" t="s">
        <v>4127</v>
      </c>
      <c r="I15" s="18"/>
      <c r="J15" s="16" t="s">
        <v>51</v>
      </c>
      <c r="K15" s="18" t="s">
        <v>4074</v>
      </c>
    </row>
    <row r="16" spans="1:11" ht="97.5" customHeight="1">
      <c r="A16" s="17" t="s">
        <v>1480</v>
      </c>
      <c r="B16" s="18" t="s">
        <v>4119</v>
      </c>
      <c r="C16" s="18" t="s">
        <v>4128</v>
      </c>
      <c r="D16" s="19" t="s">
        <v>44</v>
      </c>
      <c r="E16" s="17" t="s">
        <v>47</v>
      </c>
      <c r="F16" s="18" t="s">
        <v>4129</v>
      </c>
      <c r="G16" s="18" t="s">
        <v>4130</v>
      </c>
      <c r="H16" s="18" t="s">
        <v>3275</v>
      </c>
      <c r="I16" s="18"/>
      <c r="J16" s="16" t="s">
        <v>51</v>
      </c>
      <c r="K16" s="18" t="s">
        <v>4074</v>
      </c>
    </row>
    <row r="17" spans="1:11" ht="97.5" customHeight="1">
      <c r="A17" s="17" t="s">
        <v>4131</v>
      </c>
      <c r="B17" s="18" t="s">
        <v>4119</v>
      </c>
      <c r="C17" s="18" t="s">
        <v>4132</v>
      </c>
      <c r="D17" s="19" t="s">
        <v>44</v>
      </c>
      <c r="E17" s="17" t="s">
        <v>45</v>
      </c>
      <c r="F17" s="18" t="s">
        <v>4133</v>
      </c>
      <c r="G17" s="18" t="s">
        <v>4134</v>
      </c>
      <c r="H17" s="18" t="s">
        <v>3280</v>
      </c>
      <c r="I17" s="18"/>
      <c r="J17" s="16" t="s">
        <v>51</v>
      </c>
      <c r="K17" s="18" t="s">
        <v>4074</v>
      </c>
    </row>
    <row r="18" spans="1:11" ht="97.5" customHeight="1">
      <c r="A18" s="17" t="s">
        <v>4135</v>
      </c>
      <c r="B18" s="18" t="s">
        <v>4119</v>
      </c>
      <c r="C18" s="18" t="s">
        <v>4136</v>
      </c>
      <c r="D18" s="19" t="s">
        <v>44</v>
      </c>
      <c r="E18" s="17" t="s">
        <v>47</v>
      </c>
      <c r="F18" s="18" t="s">
        <v>4137</v>
      </c>
      <c r="G18" s="18" t="s">
        <v>4138</v>
      </c>
      <c r="H18" s="18" t="s">
        <v>4139</v>
      </c>
      <c r="I18" s="18"/>
      <c r="J18" s="16" t="s">
        <v>51</v>
      </c>
      <c r="K18" s="18" t="s">
        <v>4074</v>
      </c>
    </row>
    <row r="19" spans="1:11" ht="42" customHeight="1">
      <c r="A19" s="13" t="s">
        <v>4140</v>
      </c>
      <c r="B19" s="14" t="s">
        <v>4119</v>
      </c>
      <c r="C19" s="14" t="s">
        <v>4141</v>
      </c>
      <c r="D19" s="15" t="s">
        <v>43</v>
      </c>
      <c r="E19" s="13" t="s">
        <v>45</v>
      </c>
      <c r="F19" s="14" t="s">
        <v>4142</v>
      </c>
      <c r="G19" s="14" t="s">
        <v>4143</v>
      </c>
      <c r="H19" s="14" t="s">
        <v>4144</v>
      </c>
      <c r="I19" s="14"/>
      <c r="J19" s="16" t="s">
        <v>51</v>
      </c>
      <c r="K19" s="14"/>
    </row>
    <row r="20" spans="1:11" ht="97.5" customHeight="1">
      <c r="A20" s="17" t="s">
        <v>4145</v>
      </c>
      <c r="B20" s="18" t="s">
        <v>4119</v>
      </c>
      <c r="C20" s="18" t="s">
        <v>4146</v>
      </c>
      <c r="D20" s="19" t="s">
        <v>44</v>
      </c>
      <c r="E20" s="17" t="s">
        <v>45</v>
      </c>
      <c r="F20" s="18" t="s">
        <v>4147</v>
      </c>
      <c r="G20" s="18" t="s">
        <v>4148</v>
      </c>
      <c r="H20" s="18" t="s">
        <v>4149</v>
      </c>
      <c r="I20" s="18"/>
      <c r="J20" s="16" t="s">
        <v>51</v>
      </c>
      <c r="K20" s="18" t="s">
        <v>4074</v>
      </c>
    </row>
    <row r="21" spans="1:11" ht="97.5" customHeight="1">
      <c r="A21" s="17" t="s">
        <v>4150</v>
      </c>
      <c r="B21" s="18" t="s">
        <v>4119</v>
      </c>
      <c r="C21" s="18" t="s">
        <v>4151</v>
      </c>
      <c r="D21" s="19" t="s">
        <v>44</v>
      </c>
      <c r="E21" s="17" t="s">
        <v>45</v>
      </c>
      <c r="F21" s="18" t="s">
        <v>4152</v>
      </c>
      <c r="G21" s="18" t="s">
        <v>4153</v>
      </c>
      <c r="H21" s="18" t="s">
        <v>4154</v>
      </c>
      <c r="I21" s="18"/>
      <c r="J21" s="16" t="s">
        <v>51</v>
      </c>
      <c r="K21" s="18" t="s">
        <v>4074</v>
      </c>
    </row>
    <row r="22" spans="1:11" ht="97.5" customHeight="1">
      <c r="A22" s="17" t="s">
        <v>4155</v>
      </c>
      <c r="B22" s="18" t="s">
        <v>4119</v>
      </c>
      <c r="C22" s="18" t="s">
        <v>4156</v>
      </c>
      <c r="D22" s="19" t="s">
        <v>44</v>
      </c>
      <c r="E22" s="17" t="s">
        <v>46</v>
      </c>
      <c r="F22" s="18" t="s">
        <v>4157</v>
      </c>
      <c r="G22" s="18" t="s">
        <v>4158</v>
      </c>
      <c r="H22" s="18" t="s">
        <v>4159</v>
      </c>
      <c r="I22" s="18"/>
      <c r="J22" s="16" t="s">
        <v>51</v>
      </c>
      <c r="K22" s="18" t="s">
        <v>4074</v>
      </c>
    </row>
    <row r="23" spans="1:11" ht="97.5" customHeight="1">
      <c r="A23" s="13" t="s">
        <v>4160</v>
      </c>
      <c r="B23" s="14" t="s">
        <v>4119</v>
      </c>
      <c r="C23" s="14" t="s">
        <v>4161</v>
      </c>
      <c r="D23" s="15" t="s">
        <v>43</v>
      </c>
      <c r="E23" s="13" t="s">
        <v>45</v>
      </c>
      <c r="F23" s="14" t="s">
        <v>4162</v>
      </c>
      <c r="G23" s="14" t="s">
        <v>4163</v>
      </c>
      <c r="H23" s="14" t="s">
        <v>4164</v>
      </c>
      <c r="I23" s="14"/>
      <c r="J23" s="16" t="s">
        <v>51</v>
      </c>
      <c r="K23" s="14" t="s">
        <v>4074</v>
      </c>
    </row>
    <row r="24" spans="1:11" ht="97.5" customHeight="1">
      <c r="A24" s="17" t="s">
        <v>4165</v>
      </c>
      <c r="B24" s="18" t="s">
        <v>4119</v>
      </c>
      <c r="C24" s="18" t="s">
        <v>4166</v>
      </c>
      <c r="D24" s="19" t="s">
        <v>44</v>
      </c>
      <c r="E24" s="17" t="s">
        <v>45</v>
      </c>
      <c r="F24" s="18" t="s">
        <v>4167</v>
      </c>
      <c r="G24" s="18" t="s">
        <v>1265</v>
      </c>
      <c r="H24" s="18" t="s">
        <v>4168</v>
      </c>
      <c r="I24" s="18"/>
      <c r="J24" s="16" t="s">
        <v>51</v>
      </c>
      <c r="K24" s="18" t="s">
        <v>4074</v>
      </c>
    </row>
    <row r="25" spans="1:11" ht="97.5" customHeight="1">
      <c r="A25" s="17" t="s">
        <v>4169</v>
      </c>
      <c r="B25" s="18" t="s">
        <v>4119</v>
      </c>
      <c r="C25" s="18" t="s">
        <v>2740</v>
      </c>
      <c r="D25" s="19" t="s">
        <v>44</v>
      </c>
      <c r="E25" s="17" t="s">
        <v>45</v>
      </c>
      <c r="F25" s="18" t="s">
        <v>4170</v>
      </c>
      <c r="G25" s="18" t="s">
        <v>4171</v>
      </c>
      <c r="H25" s="18" t="s">
        <v>4172</v>
      </c>
      <c r="I25" s="18"/>
      <c r="J25" s="16" t="s">
        <v>51</v>
      </c>
      <c r="K25" s="18" t="s">
        <v>4074</v>
      </c>
    </row>
    <row r="26" spans="1:11" ht="139.5" customHeight="1">
      <c r="A26" s="17" t="s">
        <v>4173</v>
      </c>
      <c r="B26" s="18" t="s">
        <v>4119</v>
      </c>
      <c r="C26" s="18" t="s">
        <v>4174</v>
      </c>
      <c r="D26" s="19" t="s">
        <v>44</v>
      </c>
      <c r="E26" s="17" t="s">
        <v>45</v>
      </c>
      <c r="F26" s="18" t="s">
        <v>4175</v>
      </c>
      <c r="G26" s="18" t="s">
        <v>4176</v>
      </c>
      <c r="H26" s="18" t="s">
        <v>4177</v>
      </c>
      <c r="I26" s="18"/>
      <c r="J26" s="16" t="s">
        <v>51</v>
      </c>
      <c r="K26" s="18" t="s">
        <v>4178</v>
      </c>
    </row>
    <row r="27" spans="1:11" ht="55.5" customHeight="1">
      <c r="A27" s="13" t="s">
        <v>4179</v>
      </c>
      <c r="B27" s="14" t="s">
        <v>4119</v>
      </c>
      <c r="C27" s="14" t="s">
        <v>4180</v>
      </c>
      <c r="D27" s="15" t="s">
        <v>43</v>
      </c>
      <c r="E27" s="13" t="s">
        <v>46</v>
      </c>
      <c r="F27" s="14" t="s">
        <v>4181</v>
      </c>
      <c r="G27" s="14" t="s">
        <v>4182</v>
      </c>
      <c r="H27" s="14" t="s">
        <v>4183</v>
      </c>
      <c r="I27" s="14"/>
      <c r="J27" s="16" t="s">
        <v>51</v>
      </c>
      <c r="K27" s="14"/>
    </row>
    <row r="28" spans="1:11" ht="97.5" customHeight="1">
      <c r="A28" s="13" t="s">
        <v>4184</v>
      </c>
      <c r="B28" s="14" t="s">
        <v>4119</v>
      </c>
      <c r="C28" s="14" t="s">
        <v>4185</v>
      </c>
      <c r="D28" s="15" t="s">
        <v>43</v>
      </c>
      <c r="E28" s="13" t="s">
        <v>46</v>
      </c>
      <c r="F28" s="14" t="s">
        <v>4186</v>
      </c>
      <c r="G28" s="14" t="s">
        <v>4187</v>
      </c>
      <c r="H28" s="14" t="s">
        <v>4188</v>
      </c>
      <c r="I28" s="14"/>
      <c r="J28" s="16" t="s">
        <v>51</v>
      </c>
      <c r="K28" s="14" t="s">
        <v>4074</v>
      </c>
    </row>
    <row r="29" spans="1:11" ht="55.5" customHeight="1">
      <c r="A29" s="13" t="s">
        <v>4189</v>
      </c>
      <c r="B29" s="14" t="s">
        <v>4119</v>
      </c>
      <c r="C29" s="14" t="s">
        <v>4190</v>
      </c>
      <c r="D29" s="15" t="s">
        <v>43</v>
      </c>
      <c r="E29" s="13" t="s">
        <v>46</v>
      </c>
      <c r="F29" s="14" t="s">
        <v>4191</v>
      </c>
      <c r="G29" s="14" t="s">
        <v>4163</v>
      </c>
      <c r="H29" s="14" t="s">
        <v>4192</v>
      </c>
      <c r="I29" s="14"/>
      <c r="J29" s="16" t="s">
        <v>51</v>
      </c>
      <c r="K29" s="14"/>
    </row>
    <row r="30" spans="1:11" ht="97.5" customHeight="1">
      <c r="A30" s="17" t="s">
        <v>4193</v>
      </c>
      <c r="B30" s="18" t="s">
        <v>4119</v>
      </c>
      <c r="C30" s="18" t="s">
        <v>4194</v>
      </c>
      <c r="D30" s="19" t="s">
        <v>44</v>
      </c>
      <c r="E30" s="17" t="s">
        <v>47</v>
      </c>
      <c r="F30" s="18" t="s">
        <v>4195</v>
      </c>
      <c r="G30" s="18" t="s">
        <v>4196</v>
      </c>
      <c r="H30" s="18" t="s">
        <v>4197</v>
      </c>
      <c r="I30" s="18"/>
      <c r="J30" s="16" t="s">
        <v>51</v>
      </c>
      <c r="K30" s="18" t="s">
        <v>4074</v>
      </c>
    </row>
    <row r="31" spans="1:11" ht="55.5" customHeight="1">
      <c r="A31" s="13" t="s">
        <v>1500</v>
      </c>
      <c r="B31" s="14" t="s">
        <v>4119</v>
      </c>
      <c r="C31" s="14" t="s">
        <v>4198</v>
      </c>
      <c r="D31" s="15" t="s">
        <v>43</v>
      </c>
      <c r="E31" s="13" t="s">
        <v>46</v>
      </c>
      <c r="F31" s="14" t="s">
        <v>4199</v>
      </c>
      <c r="G31" s="14" t="s">
        <v>4200</v>
      </c>
      <c r="H31" s="14" t="s">
        <v>4201</v>
      </c>
      <c r="I31" s="14"/>
      <c r="J31" s="16" t="s">
        <v>51</v>
      </c>
      <c r="K31" s="14"/>
    </row>
    <row r="32" spans="1:11" ht="97.5" customHeight="1">
      <c r="A32" s="17" t="s">
        <v>1505</v>
      </c>
      <c r="B32" s="18" t="s">
        <v>4119</v>
      </c>
      <c r="C32" s="18" t="s">
        <v>4202</v>
      </c>
      <c r="D32" s="19" t="s">
        <v>44</v>
      </c>
      <c r="E32" s="17" t="s">
        <v>46</v>
      </c>
      <c r="F32" s="18" t="s">
        <v>4203</v>
      </c>
      <c r="G32" s="18" t="s">
        <v>1508</v>
      </c>
      <c r="H32" s="18" t="s">
        <v>4204</v>
      </c>
      <c r="I32" s="18"/>
      <c r="J32" s="16" t="s">
        <v>51</v>
      </c>
      <c r="K32" s="18" t="s">
        <v>4074</v>
      </c>
    </row>
    <row r="33" spans="1:11" ht="97.5" customHeight="1">
      <c r="A33" s="17" t="s">
        <v>1510</v>
      </c>
      <c r="B33" s="18" t="s">
        <v>4119</v>
      </c>
      <c r="C33" s="18" t="s">
        <v>4205</v>
      </c>
      <c r="D33" s="19" t="s">
        <v>44</v>
      </c>
      <c r="E33" s="17" t="s">
        <v>46</v>
      </c>
      <c r="F33" s="18" t="s">
        <v>4206</v>
      </c>
      <c r="G33" s="18" t="s">
        <v>4207</v>
      </c>
      <c r="H33" s="18" t="s">
        <v>4208</v>
      </c>
      <c r="I33" s="18"/>
      <c r="J33" s="16" t="s">
        <v>51</v>
      </c>
      <c r="K33" s="18" t="s">
        <v>4074</v>
      </c>
    </row>
    <row r="34" spans="1:11" ht="126" customHeight="1">
      <c r="A34" s="17" t="s">
        <v>1515</v>
      </c>
      <c r="B34" s="18" t="s">
        <v>4119</v>
      </c>
      <c r="C34" s="18" t="s">
        <v>4209</v>
      </c>
      <c r="D34" s="19" t="s">
        <v>44</v>
      </c>
      <c r="E34" s="17" t="s">
        <v>46</v>
      </c>
      <c r="F34" s="18" t="s">
        <v>4210</v>
      </c>
      <c r="G34" s="18" t="s">
        <v>1518</v>
      </c>
      <c r="H34" s="18" t="s">
        <v>4211</v>
      </c>
      <c r="I34" s="18"/>
      <c r="J34" s="16" t="s">
        <v>51</v>
      </c>
      <c r="K34" s="18" t="s">
        <v>4212</v>
      </c>
    </row>
    <row r="35" spans="1:11" ht="69.75" customHeight="1">
      <c r="A35" s="13" t="s">
        <v>4213</v>
      </c>
      <c r="B35" s="14" t="s">
        <v>4214</v>
      </c>
      <c r="C35" s="14" t="s">
        <v>4215</v>
      </c>
      <c r="D35" s="15" t="s">
        <v>43</v>
      </c>
      <c r="E35" s="13" t="s">
        <v>45</v>
      </c>
      <c r="F35" s="14" t="s">
        <v>4216</v>
      </c>
      <c r="G35" s="14" t="s">
        <v>4217</v>
      </c>
      <c r="H35" s="14" t="s">
        <v>4218</v>
      </c>
      <c r="I35" s="14"/>
      <c r="J35" s="16" t="s">
        <v>51</v>
      </c>
      <c r="K35" s="14"/>
    </row>
    <row r="36" spans="1:11" ht="139.5" customHeight="1">
      <c r="A36" s="17" t="s">
        <v>4219</v>
      </c>
      <c r="B36" s="18" t="s">
        <v>4214</v>
      </c>
      <c r="C36" s="18" t="s">
        <v>4220</v>
      </c>
      <c r="D36" s="19" t="s">
        <v>44</v>
      </c>
      <c r="E36" s="17" t="s">
        <v>45</v>
      </c>
      <c r="F36" s="18" t="s">
        <v>4221</v>
      </c>
      <c r="G36" s="18" t="s">
        <v>1526</v>
      </c>
      <c r="H36" s="18" t="s">
        <v>4222</v>
      </c>
      <c r="I36" s="18"/>
      <c r="J36" s="16" t="s">
        <v>51</v>
      </c>
      <c r="K36" s="18" t="s">
        <v>4223</v>
      </c>
    </row>
    <row r="37" spans="1:11" ht="69.75" customHeight="1">
      <c r="A37" s="17" t="s">
        <v>4224</v>
      </c>
      <c r="B37" s="18" t="s">
        <v>4214</v>
      </c>
      <c r="C37" s="18" t="s">
        <v>4225</v>
      </c>
      <c r="D37" s="19" t="s">
        <v>44</v>
      </c>
      <c r="E37" s="17" t="s">
        <v>45</v>
      </c>
      <c r="F37" s="18" t="s">
        <v>4226</v>
      </c>
      <c r="G37" s="18" t="s">
        <v>1005</v>
      </c>
      <c r="H37" s="18" t="s">
        <v>4227</v>
      </c>
      <c r="I37" s="18"/>
      <c r="J37" s="16" t="s">
        <v>51</v>
      </c>
      <c r="K37" s="18" t="s">
        <v>4228</v>
      </c>
    </row>
    <row r="38" spans="1:11" ht="97.5" customHeight="1">
      <c r="A38" s="17" t="s">
        <v>4229</v>
      </c>
      <c r="B38" s="18" t="s">
        <v>4214</v>
      </c>
      <c r="C38" s="18" t="s">
        <v>4230</v>
      </c>
      <c r="D38" s="19" t="s">
        <v>44</v>
      </c>
      <c r="E38" s="17" t="s">
        <v>46</v>
      </c>
      <c r="F38" s="18" t="s">
        <v>4231</v>
      </c>
      <c r="G38" s="18" t="s">
        <v>4232</v>
      </c>
      <c r="H38" s="18" t="s">
        <v>4233</v>
      </c>
      <c r="I38" s="18"/>
      <c r="J38" s="16" t="s">
        <v>51</v>
      </c>
      <c r="K38" s="18" t="s">
        <v>4074</v>
      </c>
    </row>
    <row r="39" spans="1:11" ht="111.75" customHeight="1">
      <c r="A39" s="17" t="s">
        <v>4234</v>
      </c>
      <c r="B39" s="18" t="s">
        <v>4214</v>
      </c>
      <c r="C39" s="18" t="s">
        <v>4235</v>
      </c>
      <c r="D39" s="19" t="s">
        <v>44</v>
      </c>
      <c r="E39" s="17" t="s">
        <v>46</v>
      </c>
      <c r="F39" s="18" t="s">
        <v>4236</v>
      </c>
      <c r="G39" s="18" t="s">
        <v>4237</v>
      </c>
      <c r="H39" s="18" t="s">
        <v>4238</v>
      </c>
      <c r="I39" s="18"/>
      <c r="J39" s="16" t="s">
        <v>51</v>
      </c>
      <c r="K39" s="18" t="s">
        <v>4239</v>
      </c>
    </row>
    <row r="40" spans="1:11" ht="97.5" customHeight="1">
      <c r="A40" s="17" t="s">
        <v>4240</v>
      </c>
      <c r="B40" s="18" t="s">
        <v>4214</v>
      </c>
      <c r="C40" s="18" t="s">
        <v>4241</v>
      </c>
      <c r="D40" s="19" t="s">
        <v>44</v>
      </c>
      <c r="E40" s="17" t="s">
        <v>46</v>
      </c>
      <c r="F40" s="18" t="s">
        <v>4242</v>
      </c>
      <c r="G40" s="18" t="s">
        <v>4243</v>
      </c>
      <c r="H40" s="18" t="s">
        <v>4244</v>
      </c>
      <c r="I40" s="18"/>
      <c r="J40" s="16" t="s">
        <v>51</v>
      </c>
      <c r="K40" s="18" t="s">
        <v>4074</v>
      </c>
    </row>
    <row r="41" spans="1:11" ht="97.5" customHeight="1">
      <c r="A41" s="13" t="s">
        <v>4245</v>
      </c>
      <c r="B41" s="14" t="s">
        <v>4214</v>
      </c>
      <c r="C41" s="14" t="s">
        <v>4246</v>
      </c>
      <c r="D41" s="15" t="s">
        <v>43</v>
      </c>
      <c r="E41" s="13" t="s">
        <v>46</v>
      </c>
      <c r="F41" s="14" t="s">
        <v>4247</v>
      </c>
      <c r="G41" s="14" t="s">
        <v>4248</v>
      </c>
      <c r="H41" s="14" t="s">
        <v>4249</v>
      </c>
      <c r="I41" s="14"/>
      <c r="J41" s="16" t="s">
        <v>51</v>
      </c>
      <c r="K41" s="14" t="s">
        <v>4074</v>
      </c>
    </row>
    <row r="42" spans="1:11" ht="42" customHeight="1">
      <c r="A42" s="13" t="s">
        <v>4250</v>
      </c>
      <c r="B42" s="14" t="s">
        <v>4251</v>
      </c>
      <c r="C42" s="14" t="s">
        <v>4252</v>
      </c>
      <c r="D42" s="15" t="s">
        <v>43</v>
      </c>
      <c r="E42" s="13" t="s">
        <v>45</v>
      </c>
      <c r="F42" s="14" t="s">
        <v>4253</v>
      </c>
      <c r="G42" s="14" t="s">
        <v>4254</v>
      </c>
      <c r="H42" s="14" t="s">
        <v>4255</v>
      </c>
      <c r="I42" s="14"/>
      <c r="J42" s="16" t="s">
        <v>51</v>
      </c>
      <c r="K42" s="14"/>
    </row>
    <row r="43" spans="1:11" ht="42" customHeight="1">
      <c r="A43" s="13" t="s">
        <v>4256</v>
      </c>
      <c r="B43" s="14" t="s">
        <v>4251</v>
      </c>
      <c r="C43" s="14" t="s">
        <v>4257</v>
      </c>
      <c r="D43" s="15" t="s">
        <v>43</v>
      </c>
      <c r="E43" s="13" t="s">
        <v>45</v>
      </c>
      <c r="F43" s="14" t="s">
        <v>4258</v>
      </c>
      <c r="G43" s="14" t="s">
        <v>4259</v>
      </c>
      <c r="H43" s="14" t="s">
        <v>4260</v>
      </c>
      <c r="I43" s="14"/>
      <c r="J43" s="16" t="s">
        <v>51</v>
      </c>
      <c r="K43" s="14"/>
    </row>
    <row r="44" spans="1:11" ht="97.5" customHeight="1">
      <c r="A44" s="13" t="s">
        <v>4261</v>
      </c>
      <c r="B44" s="14" t="s">
        <v>4251</v>
      </c>
      <c r="C44" s="14" t="s">
        <v>4262</v>
      </c>
      <c r="D44" s="15" t="s">
        <v>43</v>
      </c>
      <c r="E44" s="13" t="s">
        <v>46</v>
      </c>
      <c r="F44" s="14" t="s">
        <v>4263</v>
      </c>
      <c r="G44" s="14" t="s">
        <v>4264</v>
      </c>
      <c r="H44" s="14" t="s">
        <v>4265</v>
      </c>
      <c r="I44" s="14"/>
      <c r="J44" s="16" t="s">
        <v>51</v>
      </c>
      <c r="K44" s="14" t="s">
        <v>4074</v>
      </c>
    </row>
    <row r="45" spans="1:11" ht="111.75" customHeight="1">
      <c r="A45" s="17" t="s">
        <v>4266</v>
      </c>
      <c r="B45" s="18" t="s">
        <v>4251</v>
      </c>
      <c r="C45" s="18" t="s">
        <v>4267</v>
      </c>
      <c r="D45" s="19" t="s">
        <v>44</v>
      </c>
      <c r="E45" s="17" t="s">
        <v>45</v>
      </c>
      <c r="F45" s="18" t="s">
        <v>4268</v>
      </c>
      <c r="G45" s="18" t="s">
        <v>4269</v>
      </c>
      <c r="H45" s="18" t="s">
        <v>4270</v>
      </c>
      <c r="I45" s="18"/>
      <c r="J45" s="16" t="s">
        <v>51</v>
      </c>
      <c r="K45" s="18" t="s">
        <v>4271</v>
      </c>
    </row>
    <row r="46" spans="1:11" ht="97.5" customHeight="1">
      <c r="A46" s="17" t="s">
        <v>4272</v>
      </c>
      <c r="B46" s="18" t="s">
        <v>4251</v>
      </c>
      <c r="C46" s="18" t="s">
        <v>4273</v>
      </c>
      <c r="D46" s="19" t="s">
        <v>44</v>
      </c>
      <c r="E46" s="17" t="s">
        <v>46</v>
      </c>
      <c r="F46" s="18" t="s">
        <v>4274</v>
      </c>
      <c r="G46" s="18" t="s">
        <v>4275</v>
      </c>
      <c r="H46" s="18" t="s">
        <v>4276</v>
      </c>
      <c r="I46" s="18"/>
      <c r="J46" s="16" t="s">
        <v>51</v>
      </c>
      <c r="K46" s="18" t="s">
        <v>4074</v>
      </c>
    </row>
    <row r="47" spans="1:11" ht="69.75" customHeight="1">
      <c r="A47" s="13" t="s">
        <v>4277</v>
      </c>
      <c r="B47" s="14" t="s">
        <v>4278</v>
      </c>
      <c r="C47" s="14" t="s">
        <v>4279</v>
      </c>
      <c r="D47" s="15" t="s">
        <v>43</v>
      </c>
      <c r="E47" s="13" t="s">
        <v>45</v>
      </c>
      <c r="F47" s="14" t="s">
        <v>4280</v>
      </c>
      <c r="G47" s="14" t="s">
        <v>109</v>
      </c>
      <c r="H47" s="14" t="s">
        <v>4281</v>
      </c>
      <c r="I47" s="14"/>
      <c r="J47" s="16" t="s">
        <v>51</v>
      </c>
      <c r="K47" s="14"/>
    </row>
    <row r="48" spans="1:11" ht="42" customHeight="1">
      <c r="A48" s="13" t="s">
        <v>4282</v>
      </c>
      <c r="B48" s="14" t="s">
        <v>4278</v>
      </c>
      <c r="C48" s="14" t="s">
        <v>4283</v>
      </c>
      <c r="D48" s="15" t="s">
        <v>43</v>
      </c>
      <c r="E48" s="13" t="s">
        <v>45</v>
      </c>
      <c r="F48" s="14" t="s">
        <v>4284</v>
      </c>
      <c r="G48" s="14" t="s">
        <v>4285</v>
      </c>
      <c r="H48" s="14" t="s">
        <v>4286</v>
      </c>
      <c r="I48" s="14"/>
      <c r="J48" s="16" t="s">
        <v>51</v>
      </c>
      <c r="K48" s="14"/>
    </row>
    <row r="49" spans="1:11" ht="97.5" customHeight="1">
      <c r="A49" s="17" t="s">
        <v>4287</v>
      </c>
      <c r="B49" s="18" t="s">
        <v>4278</v>
      </c>
      <c r="C49" s="18" t="s">
        <v>4288</v>
      </c>
      <c r="D49" s="19" t="s">
        <v>44</v>
      </c>
      <c r="E49" s="17" t="s">
        <v>45</v>
      </c>
      <c r="F49" s="18" t="s">
        <v>4289</v>
      </c>
      <c r="G49" s="18" t="s">
        <v>4290</v>
      </c>
      <c r="H49" s="18" t="s">
        <v>4291</v>
      </c>
      <c r="I49" s="18"/>
      <c r="J49" s="16" t="s">
        <v>51</v>
      </c>
      <c r="K49" s="18" t="s">
        <v>4074</v>
      </c>
    </row>
    <row r="50" spans="1:11" ht="97.5" customHeight="1">
      <c r="A50" s="17" t="s">
        <v>4292</v>
      </c>
      <c r="B50" s="18" t="s">
        <v>4278</v>
      </c>
      <c r="C50" s="18" t="s">
        <v>4293</v>
      </c>
      <c r="D50" s="19" t="s">
        <v>44</v>
      </c>
      <c r="E50" s="17" t="s">
        <v>46</v>
      </c>
      <c r="F50" s="18" t="s">
        <v>4294</v>
      </c>
      <c r="G50" s="18" t="s">
        <v>4295</v>
      </c>
      <c r="H50" s="18" t="s">
        <v>4296</v>
      </c>
      <c r="I50" s="18"/>
      <c r="J50" s="16" t="s">
        <v>51</v>
      </c>
      <c r="K50" s="18" t="s">
        <v>4074</v>
      </c>
    </row>
    <row r="51" spans="1:11" ht="97.5" customHeight="1">
      <c r="A51" s="13" t="s">
        <v>4297</v>
      </c>
      <c r="B51" s="14" t="s">
        <v>4278</v>
      </c>
      <c r="C51" s="14" t="s">
        <v>4298</v>
      </c>
      <c r="D51" s="15" t="s">
        <v>43</v>
      </c>
      <c r="E51" s="13" t="s">
        <v>47</v>
      </c>
      <c r="F51" s="14" t="s">
        <v>4299</v>
      </c>
      <c r="G51" s="14" t="s">
        <v>109</v>
      </c>
      <c r="H51" s="14" t="s">
        <v>4300</v>
      </c>
      <c r="I51" s="14"/>
      <c r="J51" s="16" t="s">
        <v>51</v>
      </c>
      <c r="K51" s="14" t="s">
        <v>4074</v>
      </c>
    </row>
    <row r="52" spans="1:11" ht="69.75" customHeight="1">
      <c r="A52" s="13" t="s">
        <v>4301</v>
      </c>
      <c r="B52" s="14" t="s">
        <v>4302</v>
      </c>
      <c r="C52" s="14" t="s">
        <v>4303</v>
      </c>
      <c r="D52" s="15" t="s">
        <v>43</v>
      </c>
      <c r="E52" s="13" t="s">
        <v>45</v>
      </c>
      <c r="F52" s="14" t="s">
        <v>4304</v>
      </c>
      <c r="G52" s="14" t="s">
        <v>4305</v>
      </c>
      <c r="H52" s="14" t="s">
        <v>4306</v>
      </c>
      <c r="I52" s="14"/>
      <c r="J52" s="16" t="s">
        <v>51</v>
      </c>
      <c r="K52" s="14"/>
    </row>
    <row r="53" spans="1:11" ht="55.5" customHeight="1">
      <c r="A53" s="13" t="s">
        <v>4307</v>
      </c>
      <c r="B53" s="14" t="s">
        <v>4302</v>
      </c>
      <c r="C53" s="14" t="s">
        <v>4308</v>
      </c>
      <c r="D53" s="15" t="s">
        <v>43</v>
      </c>
      <c r="E53" s="13" t="s">
        <v>45</v>
      </c>
      <c r="F53" s="14" t="s">
        <v>4309</v>
      </c>
      <c r="G53" s="14" t="s">
        <v>4310</v>
      </c>
      <c r="H53" s="14" t="s">
        <v>4311</v>
      </c>
      <c r="I53" s="14"/>
      <c r="J53" s="16" t="s">
        <v>51</v>
      </c>
      <c r="K53" s="14"/>
    </row>
    <row r="54" spans="1:11" ht="55.5" customHeight="1">
      <c r="A54" s="13" t="s">
        <v>4312</v>
      </c>
      <c r="B54" s="14" t="s">
        <v>4302</v>
      </c>
      <c r="C54" s="14" t="s">
        <v>4313</v>
      </c>
      <c r="D54" s="15" t="s">
        <v>43</v>
      </c>
      <c r="E54" s="13" t="s">
        <v>46</v>
      </c>
      <c r="F54" s="14" t="s">
        <v>4314</v>
      </c>
      <c r="G54" s="14" t="s">
        <v>109</v>
      </c>
      <c r="H54" s="14" t="s">
        <v>4315</v>
      </c>
      <c r="I54" s="14"/>
      <c r="J54" s="16" t="s">
        <v>51</v>
      </c>
      <c r="K54" s="14"/>
    </row>
    <row r="55" spans="1:11" ht="97.5" customHeight="1">
      <c r="A55" s="13" t="s">
        <v>4316</v>
      </c>
      <c r="B55" s="14" t="s">
        <v>4302</v>
      </c>
      <c r="C55" s="14" t="s">
        <v>4317</v>
      </c>
      <c r="D55" s="15" t="s">
        <v>43</v>
      </c>
      <c r="E55" s="13" t="s">
        <v>46</v>
      </c>
      <c r="F55" s="14" t="s">
        <v>4318</v>
      </c>
      <c r="G55" s="14" t="s">
        <v>4319</v>
      </c>
      <c r="H55" s="14" t="s">
        <v>4320</v>
      </c>
      <c r="I55" s="14"/>
      <c r="J55" s="16" t="s">
        <v>51</v>
      </c>
      <c r="K55" s="14" t="s">
        <v>4074</v>
      </c>
    </row>
    <row r="56" spans="1:11" ht="97.5" customHeight="1">
      <c r="A56" s="17" t="s">
        <v>4321</v>
      </c>
      <c r="B56" s="18" t="s">
        <v>4302</v>
      </c>
      <c r="C56" s="18" t="s">
        <v>4322</v>
      </c>
      <c r="D56" s="19" t="s">
        <v>44</v>
      </c>
      <c r="E56" s="17" t="s">
        <v>45</v>
      </c>
      <c r="F56" s="18" t="s">
        <v>4323</v>
      </c>
      <c r="G56" s="18" t="s">
        <v>4324</v>
      </c>
      <c r="H56" s="18" t="s">
        <v>4325</v>
      </c>
      <c r="I56" s="18"/>
      <c r="J56" s="16" t="s">
        <v>51</v>
      </c>
      <c r="K56" s="18" t="s">
        <v>4074</v>
      </c>
    </row>
    <row r="57" spans="1:11" ht="111.75" customHeight="1">
      <c r="A57" s="17" t="s">
        <v>4326</v>
      </c>
      <c r="B57" s="18" t="s">
        <v>4302</v>
      </c>
      <c r="C57" s="18" t="s">
        <v>4327</v>
      </c>
      <c r="D57" s="19" t="s">
        <v>44</v>
      </c>
      <c r="E57" s="17" t="s">
        <v>45</v>
      </c>
      <c r="F57" s="18" t="s">
        <v>4328</v>
      </c>
      <c r="G57" s="18" t="s">
        <v>4329</v>
      </c>
      <c r="H57" s="18" t="s">
        <v>4330</v>
      </c>
      <c r="I57" s="18"/>
      <c r="J57" s="16" t="s">
        <v>51</v>
      </c>
      <c r="K57" s="18" t="s">
        <v>4331</v>
      </c>
    </row>
    <row r="58" spans="1:11" ht="97.5" customHeight="1">
      <c r="A58" s="17" t="s">
        <v>4332</v>
      </c>
      <c r="B58" s="18" t="s">
        <v>4302</v>
      </c>
      <c r="C58" s="18" t="s">
        <v>4333</v>
      </c>
      <c r="D58" s="19" t="s">
        <v>44</v>
      </c>
      <c r="E58" s="17" t="s">
        <v>46</v>
      </c>
      <c r="F58" s="18" t="s">
        <v>4334</v>
      </c>
      <c r="G58" s="18" t="s">
        <v>4335</v>
      </c>
      <c r="H58" s="18" t="s">
        <v>4336</v>
      </c>
      <c r="I58" s="18"/>
      <c r="J58" s="16" t="s">
        <v>51</v>
      </c>
      <c r="K58" s="18" t="s">
        <v>4074</v>
      </c>
    </row>
    <row r="59" spans="1:11" ht="97.5" customHeight="1">
      <c r="A59" s="17" t="s">
        <v>4337</v>
      </c>
      <c r="B59" s="18" t="s">
        <v>4302</v>
      </c>
      <c r="C59" s="18" t="s">
        <v>4338</v>
      </c>
      <c r="D59" s="19" t="s">
        <v>44</v>
      </c>
      <c r="E59" s="17" t="s">
        <v>46</v>
      </c>
      <c r="F59" s="18" t="s">
        <v>4339</v>
      </c>
      <c r="G59" s="18" t="s">
        <v>4340</v>
      </c>
      <c r="H59" s="18" t="s">
        <v>4341</v>
      </c>
      <c r="I59" s="18"/>
      <c r="J59" s="16" t="s">
        <v>51</v>
      </c>
      <c r="K59" s="18" t="s">
        <v>4074</v>
      </c>
    </row>
    <row r="60" spans="1:11" ht="27.75" customHeight="1">
      <c r="A60" s="13" t="s">
        <v>4342</v>
      </c>
      <c r="B60" s="14" t="s">
        <v>4343</v>
      </c>
      <c r="C60" s="14" t="s">
        <v>4344</v>
      </c>
      <c r="D60" s="15" t="s">
        <v>43</v>
      </c>
      <c r="E60" s="13" t="s">
        <v>45</v>
      </c>
      <c r="F60" s="14" t="s">
        <v>4345</v>
      </c>
      <c r="G60" s="14" t="s">
        <v>4346</v>
      </c>
      <c r="H60" s="14" t="s">
        <v>4347</v>
      </c>
      <c r="I60" s="14"/>
      <c r="J60" s="16" t="s">
        <v>51</v>
      </c>
      <c r="K60" s="14"/>
    </row>
    <row r="61" spans="1:11" ht="42" customHeight="1">
      <c r="A61" s="13" t="s">
        <v>4348</v>
      </c>
      <c r="B61" s="14" t="s">
        <v>4343</v>
      </c>
      <c r="C61" s="14" t="s">
        <v>4349</v>
      </c>
      <c r="D61" s="15" t="s">
        <v>43</v>
      </c>
      <c r="E61" s="13" t="s">
        <v>45</v>
      </c>
      <c r="F61" s="14" t="s">
        <v>4350</v>
      </c>
      <c r="G61" s="14" t="s">
        <v>109</v>
      </c>
      <c r="H61" s="14" t="s">
        <v>4351</v>
      </c>
      <c r="I61" s="14"/>
      <c r="J61" s="16" t="s">
        <v>51</v>
      </c>
      <c r="K61" s="14"/>
    </row>
    <row r="62" spans="1:11" ht="97.5" customHeight="1">
      <c r="A62" s="17" t="s">
        <v>4352</v>
      </c>
      <c r="B62" s="18" t="s">
        <v>4343</v>
      </c>
      <c r="C62" s="18" t="s">
        <v>4353</v>
      </c>
      <c r="D62" s="19" t="s">
        <v>44</v>
      </c>
      <c r="E62" s="17" t="s">
        <v>46</v>
      </c>
      <c r="F62" s="18" t="s">
        <v>4354</v>
      </c>
      <c r="G62" s="18" t="s">
        <v>109</v>
      </c>
      <c r="H62" s="18" t="s">
        <v>4355</v>
      </c>
      <c r="I62" s="18"/>
      <c r="J62" s="16" t="s">
        <v>51</v>
      </c>
      <c r="K62" s="18" t="s">
        <v>4074</v>
      </c>
    </row>
    <row r="63" spans="1:11" ht="27.75" customHeight="1">
      <c r="A63" s="13" t="s">
        <v>4356</v>
      </c>
      <c r="B63" s="14" t="s">
        <v>4343</v>
      </c>
      <c r="C63" s="14" t="s">
        <v>4357</v>
      </c>
      <c r="D63" s="15" t="s">
        <v>43</v>
      </c>
      <c r="E63" s="13" t="s">
        <v>45</v>
      </c>
      <c r="F63" s="14" t="s">
        <v>4358</v>
      </c>
      <c r="G63" s="14" t="s">
        <v>4359</v>
      </c>
      <c r="H63" s="14" t="s">
        <v>4360</v>
      </c>
      <c r="I63" s="14"/>
      <c r="J63" s="16" t="s">
        <v>51</v>
      </c>
      <c r="K63" s="14"/>
    </row>
    <row r="64" spans="1:11" ht="42" customHeight="1">
      <c r="A64" s="13" t="s">
        <v>4361</v>
      </c>
      <c r="B64" s="14" t="s">
        <v>4343</v>
      </c>
      <c r="C64" s="14" t="s">
        <v>4362</v>
      </c>
      <c r="D64" s="15" t="s">
        <v>43</v>
      </c>
      <c r="E64" s="13" t="s">
        <v>45</v>
      </c>
      <c r="F64" s="14" t="s">
        <v>4363</v>
      </c>
      <c r="G64" s="14" t="s">
        <v>109</v>
      </c>
      <c r="H64" s="14" t="s">
        <v>4364</v>
      </c>
      <c r="I64" s="14"/>
      <c r="J64" s="16" t="s">
        <v>51</v>
      </c>
      <c r="K64" s="14"/>
    </row>
    <row r="65" spans="1:11" ht="97.5" customHeight="1">
      <c r="A65" s="17" t="s">
        <v>4365</v>
      </c>
      <c r="B65" s="18" t="s">
        <v>4343</v>
      </c>
      <c r="C65" s="18" t="s">
        <v>4366</v>
      </c>
      <c r="D65" s="19" t="s">
        <v>44</v>
      </c>
      <c r="E65" s="17" t="s">
        <v>46</v>
      </c>
      <c r="F65" s="18" t="s">
        <v>4367</v>
      </c>
      <c r="G65" s="18" t="s">
        <v>109</v>
      </c>
      <c r="H65" s="18" t="s">
        <v>4368</v>
      </c>
      <c r="I65" s="18"/>
      <c r="J65" s="16" t="s">
        <v>51</v>
      </c>
      <c r="K65" s="18" t="s">
        <v>4074</v>
      </c>
    </row>
    <row r="66" spans="1:11" ht="55.5" customHeight="1">
      <c r="A66" s="17" t="s">
        <v>4369</v>
      </c>
      <c r="B66" s="18" t="s">
        <v>4343</v>
      </c>
      <c r="C66" s="18" t="s">
        <v>4370</v>
      </c>
      <c r="D66" s="19" t="s">
        <v>44</v>
      </c>
      <c r="E66" s="17" t="s">
        <v>45</v>
      </c>
      <c r="F66" s="18" t="s">
        <v>4371</v>
      </c>
      <c r="G66" s="18" t="s">
        <v>4372</v>
      </c>
      <c r="H66" s="18" t="s">
        <v>4373</v>
      </c>
      <c r="I66" s="18"/>
      <c r="J66" s="16" t="s">
        <v>51</v>
      </c>
      <c r="K66" s="18" t="s">
        <v>4374</v>
      </c>
    </row>
    <row r="67" spans="1:11" ht="27.75" customHeight="1">
      <c r="A67" s="13" t="s">
        <v>4375</v>
      </c>
      <c r="B67" s="14" t="s">
        <v>4376</v>
      </c>
      <c r="C67" s="14" t="s">
        <v>4377</v>
      </c>
      <c r="D67" s="15" t="s">
        <v>43</v>
      </c>
      <c r="E67" s="13" t="s">
        <v>45</v>
      </c>
      <c r="F67" s="14" t="s">
        <v>4378</v>
      </c>
      <c r="G67" s="14" t="s">
        <v>4379</v>
      </c>
      <c r="H67" s="14" t="s">
        <v>4380</v>
      </c>
      <c r="I67" s="14"/>
      <c r="J67" s="16" t="s">
        <v>51</v>
      </c>
      <c r="K67" s="14"/>
    </row>
    <row r="68" spans="1:11" ht="55.5" customHeight="1">
      <c r="A68" s="13" t="s">
        <v>4381</v>
      </c>
      <c r="B68" s="14" t="s">
        <v>4376</v>
      </c>
      <c r="C68" s="14" t="s">
        <v>4382</v>
      </c>
      <c r="D68" s="15" t="s">
        <v>43</v>
      </c>
      <c r="E68" s="13" t="s">
        <v>45</v>
      </c>
      <c r="F68" s="14" t="s">
        <v>4383</v>
      </c>
      <c r="G68" s="14" t="s">
        <v>109</v>
      </c>
      <c r="H68" s="14" t="s">
        <v>4384</v>
      </c>
      <c r="I68" s="14"/>
      <c r="J68" s="16" t="s">
        <v>51</v>
      </c>
      <c r="K68" s="14"/>
    </row>
    <row r="69" spans="1:11" ht="97.5" customHeight="1">
      <c r="A69" s="17" t="s">
        <v>4385</v>
      </c>
      <c r="B69" s="18" t="s">
        <v>4376</v>
      </c>
      <c r="C69" s="18" t="s">
        <v>4386</v>
      </c>
      <c r="D69" s="19" t="s">
        <v>44</v>
      </c>
      <c r="E69" s="17" t="s">
        <v>46</v>
      </c>
      <c r="F69" s="18" t="s">
        <v>4387</v>
      </c>
      <c r="G69" s="18" t="s">
        <v>109</v>
      </c>
      <c r="H69" s="18" t="s">
        <v>4388</v>
      </c>
      <c r="I69" s="18"/>
      <c r="J69" s="16" t="s">
        <v>51</v>
      </c>
      <c r="K69" s="18" t="s">
        <v>4074</v>
      </c>
    </row>
    <row r="70" spans="1:11" ht="69.75" customHeight="1">
      <c r="A70" s="17" t="s">
        <v>4389</v>
      </c>
      <c r="B70" s="18" t="s">
        <v>4376</v>
      </c>
      <c r="C70" s="18" t="s">
        <v>4390</v>
      </c>
      <c r="D70" s="19" t="s">
        <v>44</v>
      </c>
      <c r="E70" s="17" t="s">
        <v>45</v>
      </c>
      <c r="F70" s="18" t="s">
        <v>4391</v>
      </c>
      <c r="G70" s="18" t="s">
        <v>4392</v>
      </c>
      <c r="H70" s="18" t="s">
        <v>4393</v>
      </c>
      <c r="I70" s="18"/>
      <c r="J70" s="16" t="s">
        <v>51</v>
      </c>
      <c r="K70" s="18" t="s">
        <v>4394</v>
      </c>
    </row>
    <row r="71" spans="1:11" ht="97.5" customHeight="1">
      <c r="A71" s="17" t="s">
        <v>4395</v>
      </c>
      <c r="B71" s="18" t="s">
        <v>4376</v>
      </c>
      <c r="C71" s="18" t="s">
        <v>4396</v>
      </c>
      <c r="D71" s="19" t="s">
        <v>44</v>
      </c>
      <c r="E71" s="17" t="s">
        <v>45</v>
      </c>
      <c r="F71" s="18" t="s">
        <v>4397</v>
      </c>
      <c r="G71" s="18" t="s">
        <v>4398</v>
      </c>
      <c r="H71" s="18" t="s">
        <v>4399</v>
      </c>
      <c r="I71" s="18"/>
      <c r="J71" s="16" t="s">
        <v>51</v>
      </c>
      <c r="K71" s="18" t="s">
        <v>4074</v>
      </c>
    </row>
    <row r="72" spans="1:11" ht="97.5" customHeight="1">
      <c r="A72" s="13" t="s">
        <v>4400</v>
      </c>
      <c r="B72" s="14" t="s">
        <v>4376</v>
      </c>
      <c r="C72" s="14" t="s">
        <v>4401</v>
      </c>
      <c r="D72" s="15" t="s">
        <v>43</v>
      </c>
      <c r="E72" s="13" t="s">
        <v>46</v>
      </c>
      <c r="F72" s="14" t="s">
        <v>4402</v>
      </c>
      <c r="G72" s="14" t="s">
        <v>4403</v>
      </c>
      <c r="H72" s="14" t="s">
        <v>4404</v>
      </c>
      <c r="I72" s="14"/>
      <c r="J72" s="16" t="s">
        <v>51</v>
      </c>
      <c r="K72" s="14" t="s">
        <v>4074</v>
      </c>
    </row>
    <row r="73" spans="1:11" ht="69.75" customHeight="1">
      <c r="A73" s="13" t="s">
        <v>4405</v>
      </c>
      <c r="B73" s="14" t="s">
        <v>4406</v>
      </c>
      <c r="C73" s="14" t="s">
        <v>4407</v>
      </c>
      <c r="D73" s="15" t="s">
        <v>43</v>
      </c>
      <c r="E73" s="13" t="s">
        <v>45</v>
      </c>
      <c r="F73" s="14" t="s">
        <v>4408</v>
      </c>
      <c r="G73" s="14" t="s">
        <v>109</v>
      </c>
      <c r="H73" s="14" t="s">
        <v>4409</v>
      </c>
      <c r="I73" s="14"/>
      <c r="J73" s="16" t="s">
        <v>51</v>
      </c>
      <c r="K73" s="14"/>
    </row>
    <row r="74" spans="1:11" ht="55.5" customHeight="1">
      <c r="A74" s="13" t="s">
        <v>4410</v>
      </c>
      <c r="B74" s="14" t="s">
        <v>4406</v>
      </c>
      <c r="C74" s="14" t="s">
        <v>4411</v>
      </c>
      <c r="D74" s="15" t="s">
        <v>43</v>
      </c>
      <c r="E74" s="13" t="s">
        <v>46</v>
      </c>
      <c r="F74" s="14" t="s">
        <v>4412</v>
      </c>
      <c r="G74" s="14" t="s">
        <v>109</v>
      </c>
      <c r="H74" s="14" t="s">
        <v>4413</v>
      </c>
      <c r="I74" s="14"/>
      <c r="J74" s="16" t="s">
        <v>51</v>
      </c>
      <c r="K74" s="14"/>
    </row>
    <row r="75" spans="1:11" ht="55.5" customHeight="1">
      <c r="A75" s="13" t="s">
        <v>4414</v>
      </c>
      <c r="B75" s="14" t="s">
        <v>4406</v>
      </c>
      <c r="C75" s="14" t="s">
        <v>4415</v>
      </c>
      <c r="D75" s="15" t="s">
        <v>43</v>
      </c>
      <c r="E75" s="13" t="s">
        <v>46</v>
      </c>
      <c r="F75" s="14" t="s">
        <v>4416</v>
      </c>
      <c r="G75" s="14" t="s">
        <v>4417</v>
      </c>
      <c r="H75" s="14" t="s">
        <v>4418</v>
      </c>
      <c r="I75" s="14"/>
      <c r="J75" s="16" t="s">
        <v>51</v>
      </c>
      <c r="K75" s="14"/>
    </row>
    <row r="76" spans="1:11" ht="55.5" customHeight="1">
      <c r="A76" s="13" t="s">
        <v>4419</v>
      </c>
      <c r="B76" s="14" t="s">
        <v>4406</v>
      </c>
      <c r="C76" s="14" t="s">
        <v>4420</v>
      </c>
      <c r="D76" s="15" t="s">
        <v>43</v>
      </c>
      <c r="E76" s="13" t="s">
        <v>47</v>
      </c>
      <c r="F76" s="14" t="s">
        <v>4421</v>
      </c>
      <c r="G76" s="14" t="s">
        <v>109</v>
      </c>
      <c r="H76" s="14" t="s">
        <v>4422</v>
      </c>
      <c r="I76" s="14"/>
      <c r="J76" s="16" t="s">
        <v>51</v>
      </c>
      <c r="K76" s="14" t="s">
        <v>4423</v>
      </c>
    </row>
    <row r="77" spans="1:11" ht="42" customHeight="1">
      <c r="A77" s="13" t="s">
        <v>2959</v>
      </c>
      <c r="B77" s="14" t="s">
        <v>4424</v>
      </c>
      <c r="C77" s="14" t="s">
        <v>4425</v>
      </c>
      <c r="D77" s="15" t="s">
        <v>43</v>
      </c>
      <c r="E77" s="13" t="s">
        <v>45</v>
      </c>
      <c r="F77" s="14" t="s">
        <v>4426</v>
      </c>
      <c r="G77" s="14" t="s">
        <v>109</v>
      </c>
      <c r="H77" s="14" t="s">
        <v>4427</v>
      </c>
      <c r="I77" s="14"/>
      <c r="J77" s="16" t="s">
        <v>51</v>
      </c>
      <c r="K77" s="14"/>
    </row>
    <row r="78" spans="1:11" ht="27.75" customHeight="1">
      <c r="A78" s="13" t="s">
        <v>2965</v>
      </c>
      <c r="B78" s="14" t="s">
        <v>4424</v>
      </c>
      <c r="C78" s="14" t="s">
        <v>4428</v>
      </c>
      <c r="D78" s="15" t="s">
        <v>43</v>
      </c>
      <c r="E78" s="13" t="s">
        <v>45</v>
      </c>
      <c r="F78" s="14" t="s">
        <v>4429</v>
      </c>
      <c r="G78" s="14" t="s">
        <v>4430</v>
      </c>
      <c r="H78" s="14" t="s">
        <v>4431</v>
      </c>
      <c r="I78" s="14"/>
      <c r="J78" s="16" t="s">
        <v>51</v>
      </c>
      <c r="K78" s="14"/>
    </row>
    <row r="79" spans="1:11" ht="27.75" customHeight="1">
      <c r="A79" s="13" t="s">
        <v>2970</v>
      </c>
      <c r="B79" s="14" t="s">
        <v>4424</v>
      </c>
      <c r="C79" s="14" t="s">
        <v>4432</v>
      </c>
      <c r="D79" s="15" t="s">
        <v>43</v>
      </c>
      <c r="E79" s="13" t="s">
        <v>45</v>
      </c>
      <c r="F79" s="14" t="s">
        <v>4433</v>
      </c>
      <c r="G79" s="14" t="s">
        <v>4434</v>
      </c>
      <c r="H79" s="14" t="s">
        <v>4435</v>
      </c>
      <c r="I79" s="14"/>
      <c r="J79" s="16" t="s">
        <v>51</v>
      </c>
      <c r="K79" s="14"/>
    </row>
    <row r="80" spans="1:11" ht="27.75" customHeight="1">
      <c r="A80" s="13" t="s">
        <v>2975</v>
      </c>
      <c r="B80" s="14" t="s">
        <v>4424</v>
      </c>
      <c r="C80" s="14" t="s">
        <v>4436</v>
      </c>
      <c r="D80" s="15" t="s">
        <v>43</v>
      </c>
      <c r="E80" s="13" t="s">
        <v>45</v>
      </c>
      <c r="F80" s="14" t="s">
        <v>4437</v>
      </c>
      <c r="G80" s="14" t="s">
        <v>4438</v>
      </c>
      <c r="H80" s="14" t="s">
        <v>4439</v>
      </c>
      <c r="I80" s="14"/>
      <c r="J80" s="16" t="s">
        <v>51</v>
      </c>
      <c r="K80" s="14"/>
    </row>
    <row r="81" spans="1:11" ht="27.75" customHeight="1">
      <c r="A81" s="13" t="s">
        <v>2979</v>
      </c>
      <c r="B81" s="14" t="s">
        <v>4424</v>
      </c>
      <c r="C81" s="14" t="s">
        <v>4440</v>
      </c>
      <c r="D81" s="15" t="s">
        <v>43</v>
      </c>
      <c r="E81" s="13" t="s">
        <v>45</v>
      </c>
      <c r="F81" s="14" t="s">
        <v>4441</v>
      </c>
      <c r="G81" s="14" t="s">
        <v>109</v>
      </c>
      <c r="H81" s="14" t="s">
        <v>4442</v>
      </c>
      <c r="I81" s="14"/>
      <c r="J81" s="16" t="s">
        <v>51</v>
      </c>
      <c r="K81" s="14"/>
    </row>
    <row r="82" spans="1:11" ht="27.75" customHeight="1">
      <c r="A82" s="13" t="s">
        <v>4443</v>
      </c>
      <c r="B82" s="14" t="s">
        <v>4424</v>
      </c>
      <c r="C82" s="14" t="s">
        <v>4444</v>
      </c>
      <c r="D82" s="15" t="s">
        <v>43</v>
      </c>
      <c r="E82" s="13" t="s">
        <v>45</v>
      </c>
      <c r="F82" s="14" t="s">
        <v>4445</v>
      </c>
      <c r="G82" s="14" t="s">
        <v>109</v>
      </c>
      <c r="H82" s="14" t="s">
        <v>4446</v>
      </c>
      <c r="I82" s="14"/>
      <c r="J82" s="16" t="s">
        <v>51</v>
      </c>
      <c r="K82" s="14"/>
    </row>
    <row r="83" spans="1:11" ht="27.75" customHeight="1">
      <c r="A83" s="13" t="s">
        <v>4447</v>
      </c>
      <c r="B83" s="14" t="s">
        <v>4424</v>
      </c>
      <c r="C83" s="14" t="s">
        <v>4448</v>
      </c>
      <c r="D83" s="15" t="s">
        <v>43</v>
      </c>
      <c r="E83" s="13" t="s">
        <v>45</v>
      </c>
      <c r="F83" s="14" t="s">
        <v>4449</v>
      </c>
      <c r="G83" s="14" t="s">
        <v>109</v>
      </c>
      <c r="H83" s="14" t="s">
        <v>4450</v>
      </c>
      <c r="I83" s="14"/>
      <c r="J83" s="16" t="s">
        <v>51</v>
      </c>
      <c r="K83" s="14"/>
    </row>
    <row r="84" spans="1:11" ht="69.75" customHeight="1">
      <c r="A84" s="13" t="s">
        <v>4451</v>
      </c>
      <c r="B84" s="14" t="s">
        <v>4424</v>
      </c>
      <c r="C84" s="14" t="s">
        <v>4452</v>
      </c>
      <c r="D84" s="15" t="s">
        <v>43</v>
      </c>
      <c r="E84" s="13" t="s">
        <v>46</v>
      </c>
      <c r="F84" s="14" t="s">
        <v>4453</v>
      </c>
      <c r="G84" s="14" t="s">
        <v>4454</v>
      </c>
      <c r="H84" s="14" t="s">
        <v>4455</v>
      </c>
      <c r="I84" s="14"/>
      <c r="J84" s="16" t="s">
        <v>51</v>
      </c>
      <c r="K84" s="14" t="s">
        <v>4456</v>
      </c>
    </row>
  </sheetData>
  <autoFilter ref="A1:K84" xr:uid="{00000000-0009-0000-0000-00000A000000}"/>
  <dataValidations count="3">
    <dataValidation type="list" allowBlank="1" sqref="D2:D84" xr:uid="{00000000-0002-0000-0A00-000000000000}">
      <formula1>"Positive,Negative,Functional - Positive,Functional - Negative,Validation - Positive,Validation - Negative,Defect - Functional,Defect - Validation"</formula1>
      <formula2>0</formula2>
    </dataValidation>
    <dataValidation type="list" allowBlank="1" sqref="E2:E84" xr:uid="{00000000-0002-0000-0A00-000001000000}">
      <formula1>"High,Medium,Low"</formula1>
      <formula2>0</formula2>
    </dataValidation>
    <dataValidation type="list" allowBlank="1" sqref="J2:J84" xr:uid="{00000000-0002-0000-0A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55"/>
  <sheetViews>
    <sheetView zoomScaleNormal="100" workbookViewId="0">
      <selection activeCell="A2" sqref="A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42" customHeight="1">
      <c r="A2" s="13" t="s">
        <v>4457</v>
      </c>
      <c r="B2" s="14" t="s">
        <v>4458</v>
      </c>
      <c r="C2" s="14" t="s">
        <v>4459</v>
      </c>
      <c r="D2" s="15" t="s">
        <v>43</v>
      </c>
      <c r="E2" s="13" t="s">
        <v>45</v>
      </c>
      <c r="F2" s="14" t="s">
        <v>4460</v>
      </c>
      <c r="G2" s="14" t="s">
        <v>109</v>
      </c>
      <c r="H2" s="14" t="s">
        <v>4461</v>
      </c>
      <c r="I2" s="14"/>
      <c r="J2" s="16" t="s">
        <v>51</v>
      </c>
      <c r="K2" s="14"/>
    </row>
    <row r="3" spans="1:11" ht="55.5" customHeight="1">
      <c r="A3" s="13" t="s">
        <v>4462</v>
      </c>
      <c r="B3" s="14" t="s">
        <v>4458</v>
      </c>
      <c r="C3" s="14" t="s">
        <v>4463</v>
      </c>
      <c r="D3" s="15" t="s">
        <v>43</v>
      </c>
      <c r="E3" s="13" t="s">
        <v>45</v>
      </c>
      <c r="F3" s="14" t="s">
        <v>4464</v>
      </c>
      <c r="G3" s="14" t="s">
        <v>4465</v>
      </c>
      <c r="H3" s="14" t="s">
        <v>4466</v>
      </c>
      <c r="I3" s="14"/>
      <c r="J3" s="16" t="s">
        <v>51</v>
      </c>
      <c r="K3" s="14"/>
    </row>
    <row r="4" spans="1:11" ht="55.5" customHeight="1">
      <c r="A4" s="13" t="s">
        <v>4467</v>
      </c>
      <c r="B4" s="14" t="s">
        <v>4458</v>
      </c>
      <c r="C4" s="14" t="s">
        <v>4468</v>
      </c>
      <c r="D4" s="15" t="s">
        <v>43</v>
      </c>
      <c r="E4" s="13" t="s">
        <v>45</v>
      </c>
      <c r="F4" s="14" t="s">
        <v>4469</v>
      </c>
      <c r="G4" s="14" t="s">
        <v>4470</v>
      </c>
      <c r="H4" s="14" t="s">
        <v>4471</v>
      </c>
      <c r="I4" s="14"/>
      <c r="J4" s="16" t="s">
        <v>51</v>
      </c>
      <c r="K4" s="14"/>
    </row>
    <row r="5" spans="1:11" ht="97.5" customHeight="1">
      <c r="A5" s="13" t="s">
        <v>4472</v>
      </c>
      <c r="B5" s="14" t="s">
        <v>4458</v>
      </c>
      <c r="C5" s="14" t="s">
        <v>4473</v>
      </c>
      <c r="D5" s="15" t="s">
        <v>43</v>
      </c>
      <c r="E5" s="13" t="s">
        <v>46</v>
      </c>
      <c r="F5" s="14" t="s">
        <v>4474</v>
      </c>
      <c r="G5" s="14" t="s">
        <v>109</v>
      </c>
      <c r="H5" s="14" t="s">
        <v>4475</v>
      </c>
      <c r="I5" s="14"/>
      <c r="J5" s="16" t="s">
        <v>51</v>
      </c>
      <c r="K5" s="14" t="s">
        <v>4476</v>
      </c>
    </row>
    <row r="6" spans="1:11" ht="97.5" customHeight="1">
      <c r="A6" s="13" t="s">
        <v>4477</v>
      </c>
      <c r="B6" s="14" t="s">
        <v>4458</v>
      </c>
      <c r="C6" s="14" t="s">
        <v>4478</v>
      </c>
      <c r="D6" s="15" t="s">
        <v>43</v>
      </c>
      <c r="E6" s="13" t="s">
        <v>46</v>
      </c>
      <c r="F6" s="14" t="s">
        <v>4479</v>
      </c>
      <c r="G6" s="14" t="s">
        <v>4480</v>
      </c>
      <c r="H6" s="14" t="s">
        <v>4481</v>
      </c>
      <c r="I6" s="14"/>
      <c r="J6" s="16" t="s">
        <v>51</v>
      </c>
      <c r="K6" s="14" t="s">
        <v>4482</v>
      </c>
    </row>
    <row r="7" spans="1:11" ht="42" customHeight="1">
      <c r="A7" s="13" t="s">
        <v>4483</v>
      </c>
      <c r="B7" s="14" t="s">
        <v>4458</v>
      </c>
      <c r="C7" s="14" t="s">
        <v>4484</v>
      </c>
      <c r="D7" s="15" t="s">
        <v>43</v>
      </c>
      <c r="E7" s="13" t="s">
        <v>47</v>
      </c>
      <c r="F7" s="14" t="s">
        <v>4485</v>
      </c>
      <c r="G7" s="14" t="s">
        <v>109</v>
      </c>
      <c r="H7" s="14" t="s">
        <v>4486</v>
      </c>
      <c r="I7" s="14"/>
      <c r="J7" s="16" t="s">
        <v>51</v>
      </c>
      <c r="K7" s="14"/>
    </row>
    <row r="8" spans="1:11" ht="97.5" customHeight="1">
      <c r="A8" s="17" t="s">
        <v>4487</v>
      </c>
      <c r="B8" s="18" t="s">
        <v>4458</v>
      </c>
      <c r="C8" s="18" t="s">
        <v>4488</v>
      </c>
      <c r="D8" s="19" t="s">
        <v>44</v>
      </c>
      <c r="E8" s="17" t="s">
        <v>47</v>
      </c>
      <c r="F8" s="18" t="s">
        <v>4489</v>
      </c>
      <c r="G8" s="18" t="s">
        <v>4490</v>
      </c>
      <c r="H8" s="18" t="s">
        <v>4491</v>
      </c>
      <c r="I8" s="18"/>
      <c r="J8" s="16" t="s">
        <v>51</v>
      </c>
      <c r="K8" s="18" t="s">
        <v>4476</v>
      </c>
    </row>
    <row r="9" spans="1:11" ht="27.75" customHeight="1">
      <c r="A9" s="13" t="s">
        <v>1593</v>
      </c>
      <c r="B9" s="14" t="s">
        <v>4492</v>
      </c>
      <c r="C9" s="14" t="s">
        <v>4493</v>
      </c>
      <c r="D9" s="15" t="s">
        <v>43</v>
      </c>
      <c r="E9" s="13" t="s">
        <v>45</v>
      </c>
      <c r="F9" s="14" t="s">
        <v>4494</v>
      </c>
      <c r="G9" s="14" t="s">
        <v>109</v>
      </c>
      <c r="H9" s="14" t="s">
        <v>4495</v>
      </c>
      <c r="I9" s="14"/>
      <c r="J9" s="16" t="s">
        <v>51</v>
      </c>
      <c r="K9" s="14"/>
    </row>
    <row r="10" spans="1:11" ht="27.75" customHeight="1">
      <c r="A10" s="13" t="s">
        <v>1598</v>
      </c>
      <c r="B10" s="14" t="s">
        <v>4492</v>
      </c>
      <c r="C10" s="14" t="s">
        <v>4496</v>
      </c>
      <c r="D10" s="15" t="s">
        <v>43</v>
      </c>
      <c r="E10" s="13" t="s">
        <v>45</v>
      </c>
      <c r="F10" s="14" t="s">
        <v>4497</v>
      </c>
      <c r="G10" s="14" t="s">
        <v>109</v>
      </c>
      <c r="H10" s="14" t="s">
        <v>4498</v>
      </c>
      <c r="I10" s="14"/>
      <c r="J10" s="16" t="s">
        <v>51</v>
      </c>
      <c r="K10" s="14"/>
    </row>
    <row r="11" spans="1:11" ht="42" customHeight="1">
      <c r="A11" s="13" t="s">
        <v>1602</v>
      </c>
      <c r="B11" s="14" t="s">
        <v>4492</v>
      </c>
      <c r="C11" s="14" t="s">
        <v>4499</v>
      </c>
      <c r="D11" s="15" t="s">
        <v>43</v>
      </c>
      <c r="E11" s="13" t="s">
        <v>46</v>
      </c>
      <c r="F11" s="14" t="s">
        <v>4500</v>
      </c>
      <c r="G11" s="14" t="s">
        <v>109</v>
      </c>
      <c r="H11" s="14" t="s">
        <v>4501</v>
      </c>
      <c r="I11" s="14"/>
      <c r="J11" s="16" t="s">
        <v>51</v>
      </c>
      <c r="K11" s="14"/>
    </row>
    <row r="12" spans="1:11" ht="55.5" customHeight="1">
      <c r="A12" s="17" t="s">
        <v>1606</v>
      </c>
      <c r="B12" s="18" t="s">
        <v>4492</v>
      </c>
      <c r="C12" s="18" t="s">
        <v>4502</v>
      </c>
      <c r="D12" s="19" t="s">
        <v>44</v>
      </c>
      <c r="E12" s="17" t="s">
        <v>45</v>
      </c>
      <c r="F12" s="18" t="s">
        <v>4503</v>
      </c>
      <c r="G12" s="18" t="s">
        <v>4504</v>
      </c>
      <c r="H12" s="18" t="s">
        <v>4505</v>
      </c>
      <c r="I12" s="18"/>
      <c r="J12" s="16" t="s">
        <v>51</v>
      </c>
      <c r="K12" s="18" t="s">
        <v>4506</v>
      </c>
    </row>
    <row r="13" spans="1:11" ht="97.5" customHeight="1">
      <c r="A13" s="13" t="s">
        <v>4507</v>
      </c>
      <c r="B13" s="14" t="s">
        <v>4492</v>
      </c>
      <c r="C13" s="14" t="s">
        <v>4508</v>
      </c>
      <c r="D13" s="15" t="s">
        <v>43</v>
      </c>
      <c r="E13" s="13" t="s">
        <v>47</v>
      </c>
      <c r="F13" s="14" t="s">
        <v>4509</v>
      </c>
      <c r="G13" s="14" t="s">
        <v>109</v>
      </c>
      <c r="H13" s="14" t="s">
        <v>4510</v>
      </c>
      <c r="I13" s="14"/>
      <c r="J13" s="16" t="s">
        <v>51</v>
      </c>
      <c r="K13" s="14" t="s">
        <v>4476</v>
      </c>
    </row>
    <row r="14" spans="1:11" ht="27.75" customHeight="1">
      <c r="A14" s="13" t="s">
        <v>4511</v>
      </c>
      <c r="B14" s="14" t="s">
        <v>4512</v>
      </c>
      <c r="C14" s="14" t="s">
        <v>4513</v>
      </c>
      <c r="D14" s="15" t="s">
        <v>43</v>
      </c>
      <c r="E14" s="13" t="s">
        <v>45</v>
      </c>
      <c r="F14" s="14" t="s">
        <v>4514</v>
      </c>
      <c r="G14" s="14" t="s">
        <v>109</v>
      </c>
      <c r="H14" s="14" t="s">
        <v>4515</v>
      </c>
      <c r="I14" s="14"/>
      <c r="J14" s="16" t="s">
        <v>51</v>
      </c>
      <c r="K14" s="14"/>
    </row>
    <row r="15" spans="1:11" ht="55.5" customHeight="1">
      <c r="A15" s="13" t="s">
        <v>4516</v>
      </c>
      <c r="B15" s="14" t="s">
        <v>4512</v>
      </c>
      <c r="C15" s="14" t="s">
        <v>4517</v>
      </c>
      <c r="D15" s="15" t="s">
        <v>43</v>
      </c>
      <c r="E15" s="13" t="s">
        <v>45</v>
      </c>
      <c r="F15" s="14" t="s">
        <v>4518</v>
      </c>
      <c r="G15" s="14" t="s">
        <v>4519</v>
      </c>
      <c r="H15" s="14" t="s">
        <v>4520</v>
      </c>
      <c r="I15" s="14"/>
      <c r="J15" s="16" t="s">
        <v>51</v>
      </c>
      <c r="K15" s="14"/>
    </row>
    <row r="16" spans="1:11" ht="42" customHeight="1">
      <c r="A16" s="13" t="s">
        <v>4521</v>
      </c>
      <c r="B16" s="14" t="s">
        <v>4512</v>
      </c>
      <c r="C16" s="14" t="s">
        <v>4522</v>
      </c>
      <c r="D16" s="15" t="s">
        <v>43</v>
      </c>
      <c r="E16" s="13" t="s">
        <v>46</v>
      </c>
      <c r="F16" s="14" t="s">
        <v>4523</v>
      </c>
      <c r="G16" s="14" t="s">
        <v>4524</v>
      </c>
      <c r="H16" s="14" t="s">
        <v>4525</v>
      </c>
      <c r="I16" s="14"/>
      <c r="J16" s="16" t="s">
        <v>51</v>
      </c>
      <c r="K16" s="14"/>
    </row>
    <row r="17" spans="1:11" ht="55.5" customHeight="1">
      <c r="A17" s="13" t="s">
        <v>4526</v>
      </c>
      <c r="B17" s="14" t="s">
        <v>4512</v>
      </c>
      <c r="C17" s="14" t="s">
        <v>4527</v>
      </c>
      <c r="D17" s="15" t="s">
        <v>43</v>
      </c>
      <c r="E17" s="13" t="s">
        <v>45</v>
      </c>
      <c r="F17" s="14" t="s">
        <v>4528</v>
      </c>
      <c r="G17" s="14" t="s">
        <v>4529</v>
      </c>
      <c r="H17" s="14" t="s">
        <v>4530</v>
      </c>
      <c r="I17" s="14"/>
      <c r="J17" s="16" t="s">
        <v>51</v>
      </c>
      <c r="K17" s="14"/>
    </row>
    <row r="18" spans="1:11" ht="97.5" customHeight="1">
      <c r="A18" s="13" t="s">
        <v>4531</v>
      </c>
      <c r="B18" s="14" t="s">
        <v>4512</v>
      </c>
      <c r="C18" s="14" t="s">
        <v>4532</v>
      </c>
      <c r="D18" s="15" t="s">
        <v>43</v>
      </c>
      <c r="E18" s="13" t="s">
        <v>45</v>
      </c>
      <c r="F18" s="14" t="s">
        <v>4533</v>
      </c>
      <c r="G18" s="14" t="s">
        <v>109</v>
      </c>
      <c r="H18" s="14" t="s">
        <v>4534</v>
      </c>
      <c r="I18" s="14"/>
      <c r="J18" s="16" t="s">
        <v>51</v>
      </c>
      <c r="K18" s="14" t="s">
        <v>4476</v>
      </c>
    </row>
    <row r="19" spans="1:11" ht="97.5" customHeight="1">
      <c r="A19" s="13" t="s">
        <v>4535</v>
      </c>
      <c r="B19" s="14" t="s">
        <v>4512</v>
      </c>
      <c r="C19" s="14" t="s">
        <v>4536</v>
      </c>
      <c r="D19" s="15" t="s">
        <v>43</v>
      </c>
      <c r="E19" s="13" t="s">
        <v>47</v>
      </c>
      <c r="F19" s="14" t="s">
        <v>4537</v>
      </c>
      <c r="G19" s="14" t="s">
        <v>109</v>
      </c>
      <c r="H19" s="14" t="s">
        <v>4538</v>
      </c>
      <c r="I19" s="14"/>
      <c r="J19" s="16" t="s">
        <v>51</v>
      </c>
      <c r="K19" s="14" t="s">
        <v>4476</v>
      </c>
    </row>
    <row r="20" spans="1:11" ht="84" customHeight="1">
      <c r="A20" s="13" t="s">
        <v>4539</v>
      </c>
      <c r="B20" s="14" t="s">
        <v>4540</v>
      </c>
      <c r="C20" s="14" t="s">
        <v>4541</v>
      </c>
      <c r="D20" s="15" t="s">
        <v>43</v>
      </c>
      <c r="E20" s="13" t="s">
        <v>45</v>
      </c>
      <c r="F20" s="14" t="s">
        <v>4542</v>
      </c>
      <c r="G20" s="14" t="s">
        <v>109</v>
      </c>
      <c r="H20" s="14" t="s">
        <v>4543</v>
      </c>
      <c r="I20" s="14"/>
      <c r="J20" s="16" t="s">
        <v>51</v>
      </c>
      <c r="K20" s="14" t="s">
        <v>4544</v>
      </c>
    </row>
    <row r="21" spans="1:11" ht="97.5" customHeight="1">
      <c r="A21" s="17" t="s">
        <v>4545</v>
      </c>
      <c r="B21" s="18" t="s">
        <v>4540</v>
      </c>
      <c r="C21" s="18" t="s">
        <v>4546</v>
      </c>
      <c r="D21" s="19" t="s">
        <v>44</v>
      </c>
      <c r="E21" s="17" t="s">
        <v>45</v>
      </c>
      <c r="F21" s="18" t="s">
        <v>4547</v>
      </c>
      <c r="G21" s="18" t="s">
        <v>4548</v>
      </c>
      <c r="H21" s="18" t="s">
        <v>4549</v>
      </c>
      <c r="I21" s="18"/>
      <c r="J21" s="16" t="s">
        <v>51</v>
      </c>
      <c r="K21" s="18" t="s">
        <v>4476</v>
      </c>
    </row>
    <row r="22" spans="1:11" ht="97.5" customHeight="1">
      <c r="A22" s="17" t="s">
        <v>4550</v>
      </c>
      <c r="B22" s="18" t="s">
        <v>4540</v>
      </c>
      <c r="C22" s="18" t="s">
        <v>4551</v>
      </c>
      <c r="D22" s="19" t="s">
        <v>44</v>
      </c>
      <c r="E22" s="17" t="s">
        <v>46</v>
      </c>
      <c r="F22" s="18" t="s">
        <v>4552</v>
      </c>
      <c r="G22" s="18" t="s">
        <v>109</v>
      </c>
      <c r="H22" s="18" t="s">
        <v>4553</v>
      </c>
      <c r="I22" s="18"/>
      <c r="J22" s="16" t="s">
        <v>51</v>
      </c>
      <c r="K22" s="18" t="s">
        <v>4476</v>
      </c>
    </row>
    <row r="23" spans="1:11" ht="42" customHeight="1">
      <c r="A23" s="13" t="s">
        <v>4554</v>
      </c>
      <c r="B23" s="14" t="s">
        <v>4540</v>
      </c>
      <c r="C23" s="14" t="s">
        <v>4555</v>
      </c>
      <c r="D23" s="15" t="s">
        <v>43</v>
      </c>
      <c r="E23" s="13" t="s">
        <v>45</v>
      </c>
      <c r="F23" s="14" t="s">
        <v>4556</v>
      </c>
      <c r="G23" s="14" t="s">
        <v>4557</v>
      </c>
      <c r="H23" s="14" t="s">
        <v>4558</v>
      </c>
      <c r="I23" s="14"/>
      <c r="J23" s="16" t="s">
        <v>51</v>
      </c>
      <c r="K23" s="14"/>
    </row>
    <row r="24" spans="1:11" ht="97.5" customHeight="1">
      <c r="A24" s="17" t="s">
        <v>4559</v>
      </c>
      <c r="B24" s="18" t="s">
        <v>4540</v>
      </c>
      <c r="C24" s="18" t="s">
        <v>4560</v>
      </c>
      <c r="D24" s="19" t="s">
        <v>44</v>
      </c>
      <c r="E24" s="17" t="s">
        <v>45</v>
      </c>
      <c r="F24" s="18" t="s">
        <v>4561</v>
      </c>
      <c r="G24" s="18" t="s">
        <v>4562</v>
      </c>
      <c r="H24" s="18" t="s">
        <v>4563</v>
      </c>
      <c r="I24" s="18"/>
      <c r="J24" s="16" t="s">
        <v>51</v>
      </c>
      <c r="K24" s="18" t="s">
        <v>4476</v>
      </c>
    </row>
    <row r="25" spans="1:11" ht="97.5" customHeight="1">
      <c r="A25" s="17" t="s">
        <v>4564</v>
      </c>
      <c r="B25" s="18" t="s">
        <v>4540</v>
      </c>
      <c r="C25" s="18" t="s">
        <v>4565</v>
      </c>
      <c r="D25" s="19" t="s">
        <v>44</v>
      </c>
      <c r="E25" s="17" t="s">
        <v>45</v>
      </c>
      <c r="F25" s="18" t="s">
        <v>4566</v>
      </c>
      <c r="G25" s="18" t="s">
        <v>4567</v>
      </c>
      <c r="H25" s="18" t="s">
        <v>4568</v>
      </c>
      <c r="I25" s="18"/>
      <c r="J25" s="16" t="s">
        <v>51</v>
      </c>
      <c r="K25" s="18" t="s">
        <v>4476</v>
      </c>
    </row>
    <row r="26" spans="1:11" ht="97.5" customHeight="1">
      <c r="A26" s="17" t="s">
        <v>4569</v>
      </c>
      <c r="B26" s="18" t="s">
        <v>4540</v>
      </c>
      <c r="C26" s="18" t="s">
        <v>4570</v>
      </c>
      <c r="D26" s="19" t="s">
        <v>44</v>
      </c>
      <c r="E26" s="17" t="s">
        <v>45</v>
      </c>
      <c r="F26" s="18" t="s">
        <v>4571</v>
      </c>
      <c r="G26" s="18" t="s">
        <v>4572</v>
      </c>
      <c r="H26" s="18" t="s">
        <v>3280</v>
      </c>
      <c r="I26" s="18"/>
      <c r="J26" s="16" t="s">
        <v>51</v>
      </c>
      <c r="K26" s="18" t="s">
        <v>4476</v>
      </c>
    </row>
    <row r="27" spans="1:11" ht="27.75" customHeight="1">
      <c r="A27" s="13" t="s">
        <v>4573</v>
      </c>
      <c r="B27" s="14" t="s">
        <v>4540</v>
      </c>
      <c r="C27" s="14" t="s">
        <v>4574</v>
      </c>
      <c r="D27" s="15" t="s">
        <v>43</v>
      </c>
      <c r="E27" s="13" t="s">
        <v>45</v>
      </c>
      <c r="F27" s="14" t="s">
        <v>4575</v>
      </c>
      <c r="G27" s="14" t="s">
        <v>4576</v>
      </c>
      <c r="H27" s="14" t="s">
        <v>4577</v>
      </c>
      <c r="I27" s="14"/>
      <c r="J27" s="16" t="s">
        <v>51</v>
      </c>
      <c r="K27" s="14"/>
    </row>
    <row r="28" spans="1:11" ht="97.5" customHeight="1">
      <c r="A28" s="17" t="s">
        <v>4578</v>
      </c>
      <c r="B28" s="18" t="s">
        <v>4540</v>
      </c>
      <c r="C28" s="18" t="s">
        <v>4579</v>
      </c>
      <c r="D28" s="19" t="s">
        <v>44</v>
      </c>
      <c r="E28" s="17" t="s">
        <v>45</v>
      </c>
      <c r="F28" s="18" t="s">
        <v>4580</v>
      </c>
      <c r="G28" s="18" t="s">
        <v>4581</v>
      </c>
      <c r="H28" s="18" t="s">
        <v>4582</v>
      </c>
      <c r="I28" s="18"/>
      <c r="J28" s="16" t="s">
        <v>51</v>
      </c>
      <c r="K28" s="18" t="s">
        <v>4476</v>
      </c>
    </row>
    <row r="29" spans="1:11" ht="97.5" customHeight="1">
      <c r="A29" s="17" t="s">
        <v>4583</v>
      </c>
      <c r="B29" s="18" t="s">
        <v>4540</v>
      </c>
      <c r="C29" s="18" t="s">
        <v>4584</v>
      </c>
      <c r="D29" s="19" t="s">
        <v>44</v>
      </c>
      <c r="E29" s="17" t="s">
        <v>45</v>
      </c>
      <c r="F29" s="18" t="s">
        <v>4585</v>
      </c>
      <c r="G29" s="18" t="s">
        <v>4586</v>
      </c>
      <c r="H29" s="18" t="s">
        <v>4587</v>
      </c>
      <c r="I29" s="18"/>
      <c r="J29" s="16" t="s">
        <v>51</v>
      </c>
      <c r="K29" s="18" t="s">
        <v>4476</v>
      </c>
    </row>
    <row r="30" spans="1:11" ht="97.5" customHeight="1">
      <c r="A30" s="17" t="s">
        <v>4588</v>
      </c>
      <c r="B30" s="18" t="s">
        <v>4540</v>
      </c>
      <c r="C30" s="18" t="s">
        <v>4589</v>
      </c>
      <c r="D30" s="19" t="s">
        <v>44</v>
      </c>
      <c r="E30" s="17" t="s">
        <v>45</v>
      </c>
      <c r="F30" s="18" t="s">
        <v>4590</v>
      </c>
      <c r="G30" s="18" t="s">
        <v>4591</v>
      </c>
      <c r="H30" s="18" t="s">
        <v>3280</v>
      </c>
      <c r="I30" s="18"/>
      <c r="J30" s="16" t="s">
        <v>51</v>
      </c>
      <c r="K30" s="18" t="s">
        <v>4476</v>
      </c>
    </row>
    <row r="31" spans="1:11" ht="97.5" customHeight="1">
      <c r="A31" s="17" t="s">
        <v>4592</v>
      </c>
      <c r="B31" s="18" t="s">
        <v>4540</v>
      </c>
      <c r="C31" s="18" t="s">
        <v>4593</v>
      </c>
      <c r="D31" s="19" t="s">
        <v>44</v>
      </c>
      <c r="E31" s="17" t="s">
        <v>47</v>
      </c>
      <c r="F31" s="18" t="s">
        <v>4594</v>
      </c>
      <c r="G31" s="18" t="s">
        <v>4595</v>
      </c>
      <c r="H31" s="18" t="s">
        <v>4139</v>
      </c>
      <c r="I31" s="18"/>
      <c r="J31" s="16" t="s">
        <v>51</v>
      </c>
      <c r="K31" s="18" t="s">
        <v>4476</v>
      </c>
    </row>
    <row r="32" spans="1:11" ht="55.5" customHeight="1">
      <c r="A32" s="13" t="s">
        <v>4596</v>
      </c>
      <c r="B32" s="14" t="s">
        <v>4597</v>
      </c>
      <c r="C32" s="14" t="s">
        <v>4598</v>
      </c>
      <c r="D32" s="15" t="s">
        <v>43</v>
      </c>
      <c r="E32" s="13" t="s">
        <v>45</v>
      </c>
      <c r="F32" s="14" t="s">
        <v>4599</v>
      </c>
      <c r="G32" s="14" t="s">
        <v>4600</v>
      </c>
      <c r="H32" s="14" t="s">
        <v>4601</v>
      </c>
      <c r="I32" s="14"/>
      <c r="J32" s="16" t="s">
        <v>51</v>
      </c>
      <c r="K32" s="14"/>
    </row>
    <row r="33" spans="1:11" ht="97.5" customHeight="1">
      <c r="A33" s="13" t="s">
        <v>4602</v>
      </c>
      <c r="B33" s="14" t="s">
        <v>4597</v>
      </c>
      <c r="C33" s="14" t="s">
        <v>4603</v>
      </c>
      <c r="D33" s="15" t="s">
        <v>43</v>
      </c>
      <c r="E33" s="13" t="s">
        <v>46</v>
      </c>
      <c r="F33" s="14" t="s">
        <v>4604</v>
      </c>
      <c r="G33" s="14" t="s">
        <v>109</v>
      </c>
      <c r="H33" s="14" t="s">
        <v>4605</v>
      </c>
      <c r="I33" s="14"/>
      <c r="J33" s="16" t="s">
        <v>51</v>
      </c>
      <c r="K33" s="14" t="s">
        <v>4476</v>
      </c>
    </row>
    <row r="34" spans="1:11" ht="97.5" customHeight="1">
      <c r="A34" s="13" t="s">
        <v>4606</v>
      </c>
      <c r="B34" s="14" t="s">
        <v>4597</v>
      </c>
      <c r="C34" s="14" t="s">
        <v>4607</v>
      </c>
      <c r="D34" s="15" t="s">
        <v>43</v>
      </c>
      <c r="E34" s="13" t="s">
        <v>46</v>
      </c>
      <c r="F34" s="14" t="s">
        <v>4608</v>
      </c>
      <c r="G34" s="14" t="s">
        <v>4609</v>
      </c>
      <c r="H34" s="14" t="s">
        <v>4610</v>
      </c>
      <c r="I34" s="14"/>
      <c r="J34" s="16" t="s">
        <v>51</v>
      </c>
      <c r="K34" s="14" t="s">
        <v>4476</v>
      </c>
    </row>
    <row r="35" spans="1:11" ht="69.75" customHeight="1">
      <c r="A35" s="17" t="s">
        <v>4611</v>
      </c>
      <c r="B35" s="18" t="s">
        <v>4597</v>
      </c>
      <c r="C35" s="18" t="s">
        <v>4612</v>
      </c>
      <c r="D35" s="19" t="s">
        <v>44</v>
      </c>
      <c r="E35" s="17" t="s">
        <v>45</v>
      </c>
      <c r="F35" s="18" t="s">
        <v>4613</v>
      </c>
      <c r="G35" s="18" t="s">
        <v>1005</v>
      </c>
      <c r="H35" s="18" t="s">
        <v>4614</v>
      </c>
      <c r="I35" s="18"/>
      <c r="J35" s="16" t="s">
        <v>51</v>
      </c>
      <c r="K35" s="18" t="s">
        <v>4615</v>
      </c>
    </row>
    <row r="36" spans="1:11" ht="97.5" customHeight="1">
      <c r="A36" s="17" t="s">
        <v>4616</v>
      </c>
      <c r="B36" s="18" t="s">
        <v>4597</v>
      </c>
      <c r="C36" s="18" t="s">
        <v>4617</v>
      </c>
      <c r="D36" s="19" t="s">
        <v>44</v>
      </c>
      <c r="E36" s="17" t="s">
        <v>46</v>
      </c>
      <c r="F36" s="18" t="s">
        <v>4618</v>
      </c>
      <c r="G36" s="18" t="s">
        <v>4232</v>
      </c>
      <c r="H36" s="18" t="s">
        <v>4233</v>
      </c>
      <c r="I36" s="18"/>
      <c r="J36" s="16" t="s">
        <v>51</v>
      </c>
      <c r="K36" s="18" t="s">
        <v>4476</v>
      </c>
    </row>
    <row r="37" spans="1:11" ht="111.75" customHeight="1">
      <c r="A37" s="17" t="s">
        <v>4619</v>
      </c>
      <c r="B37" s="18" t="s">
        <v>4597</v>
      </c>
      <c r="C37" s="18" t="s">
        <v>4620</v>
      </c>
      <c r="D37" s="19" t="s">
        <v>44</v>
      </c>
      <c r="E37" s="17" t="s">
        <v>46</v>
      </c>
      <c r="F37" s="18" t="s">
        <v>4621</v>
      </c>
      <c r="G37" s="18" t="s">
        <v>4622</v>
      </c>
      <c r="H37" s="18" t="s">
        <v>4238</v>
      </c>
      <c r="I37" s="18"/>
      <c r="J37" s="16" t="s">
        <v>51</v>
      </c>
      <c r="K37" s="18" t="s">
        <v>4623</v>
      </c>
    </row>
    <row r="38" spans="1:11" ht="97.5" customHeight="1">
      <c r="A38" s="17" t="s">
        <v>4624</v>
      </c>
      <c r="B38" s="18" t="s">
        <v>4597</v>
      </c>
      <c r="C38" s="18" t="s">
        <v>4625</v>
      </c>
      <c r="D38" s="19" t="s">
        <v>44</v>
      </c>
      <c r="E38" s="17" t="s">
        <v>46</v>
      </c>
      <c r="F38" s="18" t="s">
        <v>4626</v>
      </c>
      <c r="G38" s="18" t="s">
        <v>4627</v>
      </c>
      <c r="H38" s="18" t="s">
        <v>4628</v>
      </c>
      <c r="I38" s="18"/>
      <c r="J38" s="16" t="s">
        <v>51</v>
      </c>
      <c r="K38" s="18" t="s">
        <v>4476</v>
      </c>
    </row>
    <row r="39" spans="1:11" ht="97.5" customHeight="1">
      <c r="A39" s="13" t="s">
        <v>4629</v>
      </c>
      <c r="B39" s="14" t="s">
        <v>4597</v>
      </c>
      <c r="C39" s="14" t="s">
        <v>4630</v>
      </c>
      <c r="D39" s="15" t="s">
        <v>43</v>
      </c>
      <c r="E39" s="13" t="s">
        <v>47</v>
      </c>
      <c r="F39" s="14" t="s">
        <v>4631</v>
      </c>
      <c r="G39" s="14" t="s">
        <v>4248</v>
      </c>
      <c r="H39" s="14" t="s">
        <v>4632</v>
      </c>
      <c r="I39" s="14"/>
      <c r="J39" s="16" t="s">
        <v>51</v>
      </c>
      <c r="K39" s="14" t="s">
        <v>4476</v>
      </c>
    </row>
    <row r="40" spans="1:11" ht="42" customHeight="1">
      <c r="A40" s="13" t="s">
        <v>4633</v>
      </c>
      <c r="B40" s="14" t="s">
        <v>4634</v>
      </c>
      <c r="C40" s="14" t="s">
        <v>4635</v>
      </c>
      <c r="D40" s="15" t="s">
        <v>43</v>
      </c>
      <c r="E40" s="13" t="s">
        <v>45</v>
      </c>
      <c r="F40" s="14" t="s">
        <v>4636</v>
      </c>
      <c r="G40" s="14" t="s">
        <v>109</v>
      </c>
      <c r="H40" s="14" t="s">
        <v>4637</v>
      </c>
      <c r="I40" s="14"/>
      <c r="J40" s="16" t="s">
        <v>51</v>
      </c>
      <c r="K40" s="14"/>
    </row>
    <row r="41" spans="1:11" ht="97.5" customHeight="1">
      <c r="A41" s="17" t="s">
        <v>4638</v>
      </c>
      <c r="B41" s="18" t="s">
        <v>4634</v>
      </c>
      <c r="C41" s="18" t="s">
        <v>4639</v>
      </c>
      <c r="D41" s="19" t="s">
        <v>44</v>
      </c>
      <c r="E41" s="17" t="s">
        <v>45</v>
      </c>
      <c r="F41" s="18" t="s">
        <v>4640</v>
      </c>
      <c r="G41" s="18" t="s">
        <v>4641</v>
      </c>
      <c r="H41" s="18" t="s">
        <v>4642</v>
      </c>
      <c r="I41" s="18"/>
      <c r="J41" s="16" t="s">
        <v>51</v>
      </c>
      <c r="K41" s="18" t="s">
        <v>4476</v>
      </c>
    </row>
    <row r="42" spans="1:11" ht="27.75" customHeight="1">
      <c r="A42" s="13" t="s">
        <v>4643</v>
      </c>
      <c r="B42" s="14" t="s">
        <v>4634</v>
      </c>
      <c r="C42" s="14" t="s">
        <v>4644</v>
      </c>
      <c r="D42" s="15" t="s">
        <v>43</v>
      </c>
      <c r="E42" s="13" t="s">
        <v>45</v>
      </c>
      <c r="F42" s="14" t="s">
        <v>4645</v>
      </c>
      <c r="G42" s="14" t="s">
        <v>109</v>
      </c>
      <c r="H42" s="14" t="s">
        <v>4646</v>
      </c>
      <c r="I42" s="14"/>
      <c r="J42" s="16" t="s">
        <v>51</v>
      </c>
      <c r="K42" s="14"/>
    </row>
    <row r="43" spans="1:11" ht="42" customHeight="1">
      <c r="A43" s="13" t="s">
        <v>4647</v>
      </c>
      <c r="B43" s="14" t="s">
        <v>4634</v>
      </c>
      <c r="C43" s="14" t="s">
        <v>4648</v>
      </c>
      <c r="D43" s="15" t="s">
        <v>43</v>
      </c>
      <c r="E43" s="13" t="s">
        <v>46</v>
      </c>
      <c r="F43" s="14" t="s">
        <v>4649</v>
      </c>
      <c r="G43" s="14" t="s">
        <v>109</v>
      </c>
      <c r="H43" s="14" t="s">
        <v>4650</v>
      </c>
      <c r="I43" s="14"/>
      <c r="J43" s="16" t="s">
        <v>51</v>
      </c>
      <c r="K43" s="14"/>
    </row>
    <row r="44" spans="1:11" ht="97.5" customHeight="1">
      <c r="A44" s="13" t="s">
        <v>4651</v>
      </c>
      <c r="B44" s="14" t="s">
        <v>4634</v>
      </c>
      <c r="C44" s="14" t="s">
        <v>4652</v>
      </c>
      <c r="D44" s="15" t="s">
        <v>43</v>
      </c>
      <c r="E44" s="13" t="s">
        <v>45</v>
      </c>
      <c r="F44" s="14" t="s">
        <v>4653</v>
      </c>
      <c r="G44" s="14" t="s">
        <v>4654</v>
      </c>
      <c r="H44" s="14" t="s">
        <v>4655</v>
      </c>
      <c r="I44" s="14"/>
      <c r="J44" s="16" t="s">
        <v>51</v>
      </c>
      <c r="K44" s="14" t="s">
        <v>4476</v>
      </c>
    </row>
    <row r="45" spans="1:11" ht="97.5" customHeight="1">
      <c r="A45" s="17" t="s">
        <v>4656</v>
      </c>
      <c r="B45" s="18" t="s">
        <v>4634</v>
      </c>
      <c r="C45" s="18" t="s">
        <v>4657</v>
      </c>
      <c r="D45" s="19" t="s">
        <v>44</v>
      </c>
      <c r="E45" s="17" t="s">
        <v>46</v>
      </c>
      <c r="F45" s="18" t="s">
        <v>4658</v>
      </c>
      <c r="G45" s="18" t="s">
        <v>4659</v>
      </c>
      <c r="H45" s="18" t="s">
        <v>4660</v>
      </c>
      <c r="I45" s="18"/>
      <c r="J45" s="16" t="s">
        <v>51</v>
      </c>
      <c r="K45" s="18" t="s">
        <v>4476</v>
      </c>
    </row>
    <row r="46" spans="1:11" ht="55.5" customHeight="1">
      <c r="A46" s="13" t="s">
        <v>4661</v>
      </c>
      <c r="B46" s="14" t="s">
        <v>4634</v>
      </c>
      <c r="C46" s="14" t="s">
        <v>4662</v>
      </c>
      <c r="D46" s="15" t="s">
        <v>43</v>
      </c>
      <c r="E46" s="13" t="s">
        <v>47</v>
      </c>
      <c r="F46" s="14" t="s">
        <v>4663</v>
      </c>
      <c r="G46" s="14" t="s">
        <v>109</v>
      </c>
      <c r="H46" s="14" t="s">
        <v>4664</v>
      </c>
      <c r="I46" s="14"/>
      <c r="J46" s="16" t="s">
        <v>51</v>
      </c>
      <c r="K46" s="14" t="s">
        <v>4665</v>
      </c>
    </row>
    <row r="47" spans="1:11" ht="97.5" customHeight="1">
      <c r="A47" s="13" t="s">
        <v>4666</v>
      </c>
      <c r="B47" s="14" t="s">
        <v>4634</v>
      </c>
      <c r="C47" s="14" t="s">
        <v>4667</v>
      </c>
      <c r="D47" s="15" t="s">
        <v>43</v>
      </c>
      <c r="E47" s="13" t="s">
        <v>47</v>
      </c>
      <c r="F47" s="14" t="s">
        <v>4668</v>
      </c>
      <c r="G47" s="14" t="s">
        <v>4669</v>
      </c>
      <c r="H47" s="14" t="s">
        <v>4670</v>
      </c>
      <c r="I47" s="14"/>
      <c r="J47" s="16" t="s">
        <v>51</v>
      </c>
      <c r="K47" s="14" t="s">
        <v>4476</v>
      </c>
    </row>
    <row r="48" spans="1:11" ht="55.5" customHeight="1">
      <c r="A48" s="13" t="s">
        <v>4405</v>
      </c>
      <c r="B48" s="14" t="s">
        <v>4406</v>
      </c>
      <c r="C48" s="14" t="s">
        <v>4671</v>
      </c>
      <c r="D48" s="15" t="s">
        <v>43</v>
      </c>
      <c r="E48" s="13" t="s">
        <v>45</v>
      </c>
      <c r="F48" s="14" t="s">
        <v>4672</v>
      </c>
      <c r="G48" s="14" t="s">
        <v>109</v>
      </c>
      <c r="H48" s="14" t="s">
        <v>4673</v>
      </c>
      <c r="I48" s="14"/>
      <c r="J48" s="16" t="s">
        <v>51</v>
      </c>
      <c r="K48" s="14"/>
    </row>
    <row r="49" spans="1:11" ht="42" customHeight="1">
      <c r="A49" s="13" t="s">
        <v>4410</v>
      </c>
      <c r="B49" s="14" t="s">
        <v>4406</v>
      </c>
      <c r="C49" s="14" t="s">
        <v>4674</v>
      </c>
      <c r="D49" s="15" t="s">
        <v>43</v>
      </c>
      <c r="E49" s="13" t="s">
        <v>45</v>
      </c>
      <c r="F49" s="14" t="s">
        <v>4675</v>
      </c>
      <c r="G49" s="14" t="s">
        <v>109</v>
      </c>
      <c r="H49" s="14" t="s">
        <v>4676</v>
      </c>
      <c r="I49" s="14"/>
      <c r="J49" s="16" t="s">
        <v>51</v>
      </c>
      <c r="K49" s="14"/>
    </row>
    <row r="50" spans="1:11" ht="55.5" customHeight="1">
      <c r="A50" s="13" t="s">
        <v>4414</v>
      </c>
      <c r="B50" s="14" t="s">
        <v>4406</v>
      </c>
      <c r="C50" s="14" t="s">
        <v>4677</v>
      </c>
      <c r="D50" s="15" t="s">
        <v>43</v>
      </c>
      <c r="E50" s="13" t="s">
        <v>46</v>
      </c>
      <c r="F50" s="14" t="s">
        <v>4678</v>
      </c>
      <c r="G50" s="14" t="s">
        <v>109</v>
      </c>
      <c r="H50" s="14" t="s">
        <v>4679</v>
      </c>
      <c r="I50" s="14"/>
      <c r="J50" s="16" t="s">
        <v>51</v>
      </c>
      <c r="K50" s="14"/>
    </row>
    <row r="51" spans="1:11" ht="27.75" customHeight="1">
      <c r="A51" s="13" t="s">
        <v>2959</v>
      </c>
      <c r="B51" s="14" t="s">
        <v>4424</v>
      </c>
      <c r="C51" s="14" t="s">
        <v>4680</v>
      </c>
      <c r="D51" s="15" t="s">
        <v>43</v>
      </c>
      <c r="E51" s="13" t="s">
        <v>45</v>
      </c>
      <c r="F51" s="14" t="s">
        <v>4681</v>
      </c>
      <c r="G51" s="14" t="s">
        <v>109</v>
      </c>
      <c r="H51" s="14" t="s">
        <v>4682</v>
      </c>
      <c r="I51" s="14"/>
      <c r="J51" s="16" t="s">
        <v>51</v>
      </c>
      <c r="K51" s="14"/>
    </row>
    <row r="52" spans="1:11" ht="27.75" customHeight="1">
      <c r="A52" s="13" t="s">
        <v>2965</v>
      </c>
      <c r="B52" s="14" t="s">
        <v>4424</v>
      </c>
      <c r="C52" s="14" t="s">
        <v>4683</v>
      </c>
      <c r="D52" s="15" t="s">
        <v>43</v>
      </c>
      <c r="E52" s="13" t="s">
        <v>45</v>
      </c>
      <c r="F52" s="14" t="s">
        <v>4684</v>
      </c>
      <c r="G52" s="14" t="s">
        <v>109</v>
      </c>
      <c r="H52" s="14" t="s">
        <v>4685</v>
      </c>
      <c r="I52" s="14"/>
      <c r="J52" s="16" t="s">
        <v>51</v>
      </c>
      <c r="K52" s="14"/>
    </row>
    <row r="53" spans="1:11" ht="55.5" customHeight="1">
      <c r="A53" s="13" t="s">
        <v>2970</v>
      </c>
      <c r="B53" s="14" t="s">
        <v>4424</v>
      </c>
      <c r="C53" s="14" t="s">
        <v>4686</v>
      </c>
      <c r="D53" s="15" t="s">
        <v>43</v>
      </c>
      <c r="E53" s="13" t="s">
        <v>45</v>
      </c>
      <c r="F53" s="14" t="s">
        <v>4687</v>
      </c>
      <c r="G53" s="14" t="s">
        <v>4688</v>
      </c>
      <c r="H53" s="14" t="s">
        <v>4689</v>
      </c>
      <c r="I53" s="14"/>
      <c r="J53" s="16" t="s">
        <v>51</v>
      </c>
      <c r="K53" s="14"/>
    </row>
    <row r="54" spans="1:11" ht="27.75" customHeight="1">
      <c r="A54" s="13" t="s">
        <v>2975</v>
      </c>
      <c r="B54" s="14" t="s">
        <v>4424</v>
      </c>
      <c r="C54" s="14" t="s">
        <v>4690</v>
      </c>
      <c r="D54" s="15" t="s">
        <v>43</v>
      </c>
      <c r="E54" s="13" t="s">
        <v>45</v>
      </c>
      <c r="F54" s="14" t="s">
        <v>4691</v>
      </c>
      <c r="G54" s="14" t="s">
        <v>109</v>
      </c>
      <c r="H54" s="14" t="s">
        <v>4692</v>
      </c>
      <c r="I54" s="14"/>
      <c r="J54" s="16" t="s">
        <v>51</v>
      </c>
      <c r="K54" s="14"/>
    </row>
    <row r="55" spans="1:11" ht="84" customHeight="1">
      <c r="A55" s="13" t="s">
        <v>2979</v>
      </c>
      <c r="B55" s="14" t="s">
        <v>4424</v>
      </c>
      <c r="C55" s="14" t="s">
        <v>4693</v>
      </c>
      <c r="D55" s="15" t="s">
        <v>43</v>
      </c>
      <c r="E55" s="13" t="s">
        <v>45</v>
      </c>
      <c r="F55" s="14" t="s">
        <v>4694</v>
      </c>
      <c r="G55" s="14" t="s">
        <v>4695</v>
      </c>
      <c r="H55" s="14" t="s">
        <v>4696</v>
      </c>
      <c r="I55" s="14"/>
      <c r="J55" s="16" t="s">
        <v>51</v>
      </c>
      <c r="K55" s="14" t="s">
        <v>4697</v>
      </c>
    </row>
  </sheetData>
  <autoFilter ref="A1:K55" xr:uid="{00000000-0009-0000-0000-00000B000000}"/>
  <dataValidations count="3">
    <dataValidation type="list" allowBlank="1" sqref="D2:D55" xr:uid="{00000000-0002-0000-0B00-000000000000}">
      <formula1>"Positive,Negative,Functional - Positive,Functional - Negative,Validation - Positive,Validation - Negative,Defect - Functional,Defect - Validation"</formula1>
      <formula2>0</formula2>
    </dataValidation>
    <dataValidation type="list" allowBlank="1" sqref="E2:E55" xr:uid="{00000000-0002-0000-0B00-000001000000}">
      <formula1>"High,Medium,Low"</formula1>
      <formula2>0</formula2>
    </dataValidation>
    <dataValidation type="list" allowBlank="1" sqref="J2:J55" xr:uid="{00000000-0002-0000-0B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5"/>
  <sheetViews>
    <sheetView zoomScaleNormal="100" workbookViewId="0">
      <selection activeCell="C4" sqref="C4"/>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19.5" customHeight="1">
      <c r="A2" s="22" t="s">
        <v>4698</v>
      </c>
      <c r="B2" s="23"/>
      <c r="C2" s="23"/>
      <c r="D2" s="23"/>
      <c r="E2" s="23"/>
      <c r="F2" s="23"/>
      <c r="G2" s="23"/>
      <c r="H2" s="23"/>
      <c r="I2" s="23"/>
      <c r="J2" s="23"/>
      <c r="K2" s="23"/>
    </row>
    <row r="3" spans="1:11" ht="42" customHeight="1">
      <c r="A3" s="13" t="s">
        <v>4699</v>
      </c>
      <c r="B3" s="14" t="s">
        <v>4700</v>
      </c>
      <c r="C3" s="14" t="s">
        <v>4701</v>
      </c>
      <c r="D3" s="15" t="s">
        <v>28</v>
      </c>
      <c r="E3" s="13" t="s">
        <v>46</v>
      </c>
      <c r="F3" s="14" t="s">
        <v>4702</v>
      </c>
      <c r="G3" s="14" t="s">
        <v>4703</v>
      </c>
      <c r="H3" s="14" t="s">
        <v>4704</v>
      </c>
      <c r="I3" s="14"/>
      <c r="J3" s="16" t="s">
        <v>51</v>
      </c>
      <c r="K3" s="14"/>
    </row>
    <row r="4" spans="1:11" ht="69.75" customHeight="1">
      <c r="A4" s="13" t="s">
        <v>4705</v>
      </c>
      <c r="B4" s="14" t="s">
        <v>4700</v>
      </c>
      <c r="C4" s="14" t="s">
        <v>4706</v>
      </c>
      <c r="D4" s="15" t="s">
        <v>28</v>
      </c>
      <c r="E4" s="13" t="s">
        <v>45</v>
      </c>
      <c r="F4" s="14" t="s">
        <v>4707</v>
      </c>
      <c r="G4" s="14" t="s">
        <v>4708</v>
      </c>
      <c r="H4" s="14" t="s">
        <v>4709</v>
      </c>
      <c r="I4" s="14"/>
      <c r="J4" s="16" t="s">
        <v>51</v>
      </c>
      <c r="K4" s="14"/>
    </row>
    <row r="5" spans="1:11" ht="42" customHeight="1">
      <c r="A5" s="17" t="s">
        <v>4710</v>
      </c>
      <c r="B5" s="18" t="s">
        <v>4700</v>
      </c>
      <c r="C5" s="18" t="s">
        <v>4711</v>
      </c>
      <c r="D5" s="19" t="s">
        <v>31</v>
      </c>
      <c r="E5" s="17" t="s">
        <v>47</v>
      </c>
      <c r="F5" s="18" t="s">
        <v>4712</v>
      </c>
      <c r="G5" s="18" t="s">
        <v>4713</v>
      </c>
      <c r="H5" s="18" t="s">
        <v>4714</v>
      </c>
      <c r="I5" s="18"/>
      <c r="J5" s="16" t="s">
        <v>51</v>
      </c>
      <c r="K5" s="18"/>
    </row>
    <row r="6" spans="1:11" ht="69.75" customHeight="1">
      <c r="A6" s="13" t="s">
        <v>4715</v>
      </c>
      <c r="B6" s="14" t="s">
        <v>4700</v>
      </c>
      <c r="C6" s="14" t="s">
        <v>4716</v>
      </c>
      <c r="D6" s="15" t="s">
        <v>28</v>
      </c>
      <c r="E6" s="13" t="s">
        <v>45</v>
      </c>
      <c r="F6" s="14" t="s">
        <v>4717</v>
      </c>
      <c r="G6" s="14" t="s">
        <v>4718</v>
      </c>
      <c r="H6" s="14" t="s">
        <v>4719</v>
      </c>
      <c r="I6" s="14"/>
      <c r="J6" s="16" t="s">
        <v>51</v>
      </c>
      <c r="K6" s="14"/>
    </row>
    <row r="7" spans="1:11" ht="42" customHeight="1">
      <c r="A7" s="13" t="s">
        <v>4720</v>
      </c>
      <c r="B7" s="14" t="s">
        <v>4700</v>
      </c>
      <c r="C7" s="14" t="s">
        <v>4721</v>
      </c>
      <c r="D7" s="15" t="s">
        <v>30</v>
      </c>
      <c r="E7" s="13" t="s">
        <v>46</v>
      </c>
      <c r="F7" s="14" t="s">
        <v>4722</v>
      </c>
      <c r="G7" s="14" t="s">
        <v>4723</v>
      </c>
      <c r="H7" s="14" t="s">
        <v>4724</v>
      </c>
      <c r="I7" s="14"/>
      <c r="J7" s="16" t="s">
        <v>51</v>
      </c>
      <c r="K7" s="14"/>
    </row>
    <row r="8" spans="1:11" ht="42" customHeight="1">
      <c r="A8" s="13" t="s">
        <v>4725</v>
      </c>
      <c r="B8" s="14" t="s">
        <v>4700</v>
      </c>
      <c r="C8" s="14" t="s">
        <v>4726</v>
      </c>
      <c r="D8" s="15" t="s">
        <v>30</v>
      </c>
      <c r="E8" s="13" t="s">
        <v>46</v>
      </c>
      <c r="F8" s="14" t="s">
        <v>4727</v>
      </c>
      <c r="G8" s="14" t="s">
        <v>4728</v>
      </c>
      <c r="H8" s="14" t="s">
        <v>4729</v>
      </c>
      <c r="I8" s="14"/>
      <c r="J8" s="16" t="s">
        <v>51</v>
      </c>
      <c r="K8" s="14"/>
    </row>
    <row r="9" spans="1:11" ht="42" customHeight="1">
      <c r="A9" s="13" t="s">
        <v>4730</v>
      </c>
      <c r="B9" s="14" t="s">
        <v>4700</v>
      </c>
      <c r="C9" s="14" t="s">
        <v>4731</v>
      </c>
      <c r="D9" s="15" t="s">
        <v>30</v>
      </c>
      <c r="E9" s="13" t="s">
        <v>46</v>
      </c>
      <c r="F9" s="14" t="s">
        <v>4732</v>
      </c>
      <c r="G9" s="14" t="s">
        <v>4733</v>
      </c>
      <c r="H9" s="14" t="s">
        <v>4734</v>
      </c>
      <c r="I9" s="14"/>
      <c r="J9" s="16" t="s">
        <v>51</v>
      </c>
      <c r="K9" s="14"/>
    </row>
    <row r="10" spans="1:11" ht="55.5" customHeight="1">
      <c r="A10" s="13" t="s">
        <v>4735</v>
      </c>
      <c r="B10" s="14" t="s">
        <v>4700</v>
      </c>
      <c r="C10" s="14" t="s">
        <v>4736</v>
      </c>
      <c r="D10" s="15" t="s">
        <v>30</v>
      </c>
      <c r="E10" s="13" t="s">
        <v>46</v>
      </c>
      <c r="F10" s="14" t="s">
        <v>4737</v>
      </c>
      <c r="G10" s="14" t="s">
        <v>4738</v>
      </c>
      <c r="H10" s="14" t="s">
        <v>4739</v>
      </c>
      <c r="I10" s="14"/>
      <c r="J10" s="16" t="s">
        <v>51</v>
      </c>
      <c r="K10" s="14"/>
    </row>
    <row r="11" spans="1:11" ht="42" customHeight="1">
      <c r="A11" s="13" t="s">
        <v>4740</v>
      </c>
      <c r="B11" s="14" t="s">
        <v>4700</v>
      </c>
      <c r="C11" s="14" t="s">
        <v>4741</v>
      </c>
      <c r="D11" s="15" t="s">
        <v>30</v>
      </c>
      <c r="E11" s="13" t="s">
        <v>47</v>
      </c>
      <c r="F11" s="14" t="s">
        <v>4742</v>
      </c>
      <c r="G11" s="14" t="s">
        <v>4743</v>
      </c>
      <c r="H11" s="14" t="s">
        <v>4744</v>
      </c>
      <c r="I11" s="14"/>
      <c r="J11" s="16" t="s">
        <v>51</v>
      </c>
      <c r="K11" s="14"/>
    </row>
    <row r="12" spans="1:11" ht="55.5" customHeight="1">
      <c r="A12" s="13" t="s">
        <v>4745</v>
      </c>
      <c r="B12" s="14" t="s">
        <v>4700</v>
      </c>
      <c r="C12" s="14" t="s">
        <v>4746</v>
      </c>
      <c r="D12" s="15" t="s">
        <v>30</v>
      </c>
      <c r="E12" s="13" t="s">
        <v>45</v>
      </c>
      <c r="F12" s="14" t="s">
        <v>4747</v>
      </c>
      <c r="G12" s="14" t="s">
        <v>4748</v>
      </c>
      <c r="H12" s="14" t="s">
        <v>4749</v>
      </c>
      <c r="I12" s="14"/>
      <c r="J12" s="16" t="s">
        <v>51</v>
      </c>
      <c r="K12" s="14"/>
    </row>
    <row r="13" spans="1:11" ht="42" customHeight="1">
      <c r="A13" s="13" t="s">
        <v>4750</v>
      </c>
      <c r="B13" s="14" t="s">
        <v>4700</v>
      </c>
      <c r="C13" s="14" t="s">
        <v>4751</v>
      </c>
      <c r="D13" s="15" t="s">
        <v>28</v>
      </c>
      <c r="E13" s="13" t="s">
        <v>46</v>
      </c>
      <c r="F13" s="14" t="s">
        <v>4752</v>
      </c>
      <c r="G13" s="14" t="s">
        <v>4753</v>
      </c>
      <c r="H13" s="14" t="s">
        <v>4754</v>
      </c>
      <c r="I13" s="14"/>
      <c r="J13" s="16" t="s">
        <v>51</v>
      </c>
      <c r="K13" s="14"/>
    </row>
    <row r="14" spans="1:11" ht="42" customHeight="1">
      <c r="A14" s="17" t="s">
        <v>4755</v>
      </c>
      <c r="B14" s="18" t="s">
        <v>4700</v>
      </c>
      <c r="C14" s="18" t="s">
        <v>4756</v>
      </c>
      <c r="D14" s="19" t="s">
        <v>31</v>
      </c>
      <c r="E14" s="17" t="s">
        <v>47</v>
      </c>
      <c r="F14" s="18" t="s">
        <v>4757</v>
      </c>
      <c r="G14" s="18" t="s">
        <v>4758</v>
      </c>
      <c r="H14" s="18" t="s">
        <v>4759</v>
      </c>
      <c r="I14" s="18"/>
      <c r="J14" s="16" t="s">
        <v>51</v>
      </c>
      <c r="K14" s="18"/>
    </row>
    <row r="15" spans="1:11" ht="55.5" customHeight="1">
      <c r="A15" s="13" t="s">
        <v>4760</v>
      </c>
      <c r="B15" s="14" t="s">
        <v>4700</v>
      </c>
      <c r="C15" s="14" t="s">
        <v>4761</v>
      </c>
      <c r="D15" s="15" t="s">
        <v>28</v>
      </c>
      <c r="E15" s="13" t="s">
        <v>46</v>
      </c>
      <c r="F15" s="14" t="s">
        <v>4762</v>
      </c>
      <c r="G15" s="14" t="s">
        <v>4763</v>
      </c>
      <c r="H15" s="14" t="s">
        <v>4764</v>
      </c>
      <c r="I15" s="14"/>
      <c r="J15" s="16" t="s">
        <v>51</v>
      </c>
      <c r="K15" s="14"/>
    </row>
    <row r="16" spans="1:11" ht="42" customHeight="1">
      <c r="A16" s="13" t="s">
        <v>4765</v>
      </c>
      <c r="B16" s="14" t="s">
        <v>4700</v>
      </c>
      <c r="C16" s="14" t="s">
        <v>4766</v>
      </c>
      <c r="D16" s="15" t="s">
        <v>30</v>
      </c>
      <c r="E16" s="13" t="s">
        <v>47</v>
      </c>
      <c r="F16" s="14" t="s">
        <v>4767</v>
      </c>
      <c r="G16" s="14" t="s">
        <v>109</v>
      </c>
      <c r="H16" s="14" t="s">
        <v>4768</v>
      </c>
      <c r="I16" s="14"/>
      <c r="J16" s="16" t="s">
        <v>51</v>
      </c>
      <c r="K16" s="14"/>
    </row>
    <row r="17" spans="1:11" ht="19.5" customHeight="1">
      <c r="A17" s="22" t="s">
        <v>4769</v>
      </c>
      <c r="B17" s="23"/>
      <c r="C17" s="23"/>
      <c r="D17" s="23"/>
      <c r="E17" s="23"/>
      <c r="F17" s="23"/>
      <c r="G17" s="23"/>
      <c r="H17" s="23"/>
      <c r="I17" s="23"/>
      <c r="J17" s="23"/>
      <c r="K17" s="23"/>
    </row>
    <row r="18" spans="1:11" ht="42" customHeight="1">
      <c r="A18" s="13" t="s">
        <v>4770</v>
      </c>
      <c r="B18" s="14" t="s">
        <v>4771</v>
      </c>
      <c r="C18" s="14" t="s">
        <v>4772</v>
      </c>
      <c r="D18" s="15" t="s">
        <v>28</v>
      </c>
      <c r="E18" s="13" t="s">
        <v>45</v>
      </c>
      <c r="F18" s="14" t="s">
        <v>4773</v>
      </c>
      <c r="G18" s="14" t="s">
        <v>109</v>
      </c>
      <c r="H18" s="14" t="s">
        <v>4774</v>
      </c>
      <c r="I18" s="14"/>
      <c r="J18" s="16" t="s">
        <v>51</v>
      </c>
      <c r="K18" s="14"/>
    </row>
    <row r="19" spans="1:11" ht="42" customHeight="1">
      <c r="A19" s="13" t="s">
        <v>4775</v>
      </c>
      <c r="B19" s="14" t="s">
        <v>4771</v>
      </c>
      <c r="C19" s="14" t="s">
        <v>4776</v>
      </c>
      <c r="D19" s="15" t="s">
        <v>28</v>
      </c>
      <c r="E19" s="13" t="s">
        <v>46</v>
      </c>
      <c r="F19" s="14" t="s">
        <v>4777</v>
      </c>
      <c r="G19" s="14" t="s">
        <v>4778</v>
      </c>
      <c r="H19" s="14" t="s">
        <v>4779</v>
      </c>
      <c r="I19" s="14"/>
      <c r="J19" s="16" t="s">
        <v>51</v>
      </c>
      <c r="K19" s="14"/>
    </row>
    <row r="20" spans="1:11" ht="42" customHeight="1">
      <c r="A20" s="17" t="s">
        <v>4780</v>
      </c>
      <c r="B20" s="18" t="s">
        <v>4771</v>
      </c>
      <c r="C20" s="18" t="s">
        <v>4781</v>
      </c>
      <c r="D20" s="19" t="s">
        <v>31</v>
      </c>
      <c r="E20" s="17" t="s">
        <v>45</v>
      </c>
      <c r="F20" s="18" t="s">
        <v>4782</v>
      </c>
      <c r="G20" s="18" t="s">
        <v>4783</v>
      </c>
      <c r="H20" s="18" t="s">
        <v>4784</v>
      </c>
      <c r="I20" s="18"/>
      <c r="J20" s="16" t="s">
        <v>51</v>
      </c>
      <c r="K20" s="18"/>
    </row>
    <row r="21" spans="1:11" ht="27.75" customHeight="1">
      <c r="A21" s="13" t="s">
        <v>4785</v>
      </c>
      <c r="B21" s="14" t="s">
        <v>4771</v>
      </c>
      <c r="C21" s="14" t="s">
        <v>4786</v>
      </c>
      <c r="D21" s="15" t="s">
        <v>28</v>
      </c>
      <c r="E21" s="13" t="s">
        <v>46</v>
      </c>
      <c r="F21" s="14" t="s">
        <v>4787</v>
      </c>
      <c r="G21" s="14" t="s">
        <v>4788</v>
      </c>
      <c r="H21" s="14" t="s">
        <v>4201</v>
      </c>
      <c r="I21" s="14"/>
      <c r="J21" s="16" t="s">
        <v>51</v>
      </c>
      <c r="K21" s="14"/>
    </row>
    <row r="22" spans="1:11" ht="42" customHeight="1">
      <c r="A22" s="17" t="s">
        <v>4789</v>
      </c>
      <c r="B22" s="18" t="s">
        <v>4771</v>
      </c>
      <c r="C22" s="18" t="s">
        <v>4790</v>
      </c>
      <c r="D22" s="19" t="s">
        <v>31</v>
      </c>
      <c r="E22" s="17" t="s">
        <v>46</v>
      </c>
      <c r="F22" s="18" t="s">
        <v>4791</v>
      </c>
      <c r="G22" s="18" t="s">
        <v>4792</v>
      </c>
      <c r="H22" s="18" t="s">
        <v>4793</v>
      </c>
      <c r="I22" s="18"/>
      <c r="J22" s="16" t="s">
        <v>51</v>
      </c>
      <c r="K22" s="18"/>
    </row>
    <row r="23" spans="1:11" ht="27.75" customHeight="1">
      <c r="A23" s="13" t="s">
        <v>4794</v>
      </c>
      <c r="B23" s="14" t="s">
        <v>4771</v>
      </c>
      <c r="C23" s="14" t="s">
        <v>4795</v>
      </c>
      <c r="D23" s="15" t="s">
        <v>28</v>
      </c>
      <c r="E23" s="13" t="s">
        <v>46</v>
      </c>
      <c r="F23" s="14" t="s">
        <v>4796</v>
      </c>
      <c r="G23" s="14" t="s">
        <v>4797</v>
      </c>
      <c r="H23" s="14" t="s">
        <v>4201</v>
      </c>
      <c r="I23" s="14"/>
      <c r="J23" s="16" t="s">
        <v>51</v>
      </c>
      <c r="K23" s="14"/>
    </row>
    <row r="24" spans="1:11" ht="27.75" customHeight="1">
      <c r="A24" s="17" t="s">
        <v>4798</v>
      </c>
      <c r="B24" s="18" t="s">
        <v>4771</v>
      </c>
      <c r="C24" s="18" t="s">
        <v>4799</v>
      </c>
      <c r="D24" s="19" t="s">
        <v>31</v>
      </c>
      <c r="E24" s="17" t="s">
        <v>46</v>
      </c>
      <c r="F24" s="18" t="s">
        <v>4800</v>
      </c>
      <c r="G24" s="18" t="s">
        <v>4801</v>
      </c>
      <c r="H24" s="18" t="s">
        <v>4802</v>
      </c>
      <c r="I24" s="18"/>
      <c r="J24" s="16" t="s">
        <v>51</v>
      </c>
      <c r="K24" s="18"/>
    </row>
    <row r="25" spans="1:11" ht="27.75" customHeight="1">
      <c r="A25" s="13" t="s">
        <v>4803</v>
      </c>
      <c r="B25" s="14" t="s">
        <v>4771</v>
      </c>
      <c r="C25" s="14" t="s">
        <v>4804</v>
      </c>
      <c r="D25" s="15" t="s">
        <v>28</v>
      </c>
      <c r="E25" s="13" t="s">
        <v>46</v>
      </c>
      <c r="F25" s="14" t="s">
        <v>4805</v>
      </c>
      <c r="G25" s="14" t="s">
        <v>4806</v>
      </c>
      <c r="H25" s="14" t="s">
        <v>4201</v>
      </c>
      <c r="I25" s="14"/>
      <c r="J25" s="16" t="s">
        <v>51</v>
      </c>
      <c r="K25" s="14"/>
    </row>
    <row r="26" spans="1:11" ht="27.75" customHeight="1">
      <c r="A26" s="17" t="s">
        <v>4807</v>
      </c>
      <c r="B26" s="18" t="s">
        <v>4771</v>
      </c>
      <c r="C26" s="18" t="s">
        <v>4808</v>
      </c>
      <c r="D26" s="19" t="s">
        <v>31</v>
      </c>
      <c r="E26" s="17" t="s">
        <v>46</v>
      </c>
      <c r="F26" s="18" t="s">
        <v>4809</v>
      </c>
      <c r="G26" s="18" t="s">
        <v>710</v>
      </c>
      <c r="H26" s="18" t="s">
        <v>4810</v>
      </c>
      <c r="I26" s="18"/>
      <c r="J26" s="16" t="s">
        <v>51</v>
      </c>
      <c r="K26" s="18"/>
    </row>
    <row r="27" spans="1:11" ht="27.75" customHeight="1">
      <c r="A27" s="13" t="s">
        <v>4811</v>
      </c>
      <c r="B27" s="14" t="s">
        <v>4771</v>
      </c>
      <c r="C27" s="14" t="s">
        <v>4812</v>
      </c>
      <c r="D27" s="15" t="s">
        <v>28</v>
      </c>
      <c r="E27" s="13" t="s">
        <v>46</v>
      </c>
      <c r="F27" s="14" t="s">
        <v>4813</v>
      </c>
      <c r="G27" s="14" t="s">
        <v>4814</v>
      </c>
      <c r="H27" s="14" t="s">
        <v>4815</v>
      </c>
      <c r="I27" s="14"/>
      <c r="J27" s="16" t="s">
        <v>51</v>
      </c>
      <c r="K27" s="14"/>
    </row>
    <row r="28" spans="1:11" ht="42" customHeight="1">
      <c r="A28" s="17" t="s">
        <v>4816</v>
      </c>
      <c r="B28" s="18" t="s">
        <v>4771</v>
      </c>
      <c r="C28" s="18" t="s">
        <v>4817</v>
      </c>
      <c r="D28" s="19" t="s">
        <v>31</v>
      </c>
      <c r="E28" s="17" t="s">
        <v>46</v>
      </c>
      <c r="F28" s="18" t="s">
        <v>4818</v>
      </c>
      <c r="G28" s="18" t="s">
        <v>4819</v>
      </c>
      <c r="H28" s="18" t="s">
        <v>4820</v>
      </c>
      <c r="I28" s="18"/>
      <c r="J28" s="16" t="s">
        <v>51</v>
      </c>
      <c r="K28" s="18"/>
    </row>
    <row r="29" spans="1:11" ht="42" customHeight="1">
      <c r="A29" s="13" t="s">
        <v>4821</v>
      </c>
      <c r="B29" s="14" t="s">
        <v>4771</v>
      </c>
      <c r="C29" s="14" t="s">
        <v>4822</v>
      </c>
      <c r="D29" s="15" t="s">
        <v>28</v>
      </c>
      <c r="E29" s="13" t="s">
        <v>47</v>
      </c>
      <c r="F29" s="14" t="s">
        <v>4823</v>
      </c>
      <c r="G29" s="14" t="s">
        <v>109</v>
      </c>
      <c r="H29" s="14" t="s">
        <v>4824</v>
      </c>
      <c r="I29" s="14"/>
      <c r="J29" s="16" t="s">
        <v>51</v>
      </c>
      <c r="K29" s="14"/>
    </row>
    <row r="30" spans="1:11" ht="55.5" customHeight="1">
      <c r="A30" s="17" t="s">
        <v>4825</v>
      </c>
      <c r="B30" s="18" t="s">
        <v>4771</v>
      </c>
      <c r="C30" s="18" t="s">
        <v>4826</v>
      </c>
      <c r="D30" s="19" t="s">
        <v>31</v>
      </c>
      <c r="E30" s="17" t="s">
        <v>46</v>
      </c>
      <c r="F30" s="18" t="s">
        <v>4827</v>
      </c>
      <c r="G30" s="18" t="s">
        <v>4828</v>
      </c>
      <c r="H30" s="18" t="s">
        <v>4829</v>
      </c>
      <c r="I30" s="18"/>
      <c r="J30" s="16" t="s">
        <v>51</v>
      </c>
      <c r="K30" s="18" t="s">
        <v>4830</v>
      </c>
    </row>
    <row r="31" spans="1:11" ht="42" customHeight="1">
      <c r="A31" s="17" t="s">
        <v>4831</v>
      </c>
      <c r="B31" s="18" t="s">
        <v>4771</v>
      </c>
      <c r="C31" s="18" t="s">
        <v>4832</v>
      </c>
      <c r="D31" s="19" t="s">
        <v>31</v>
      </c>
      <c r="E31" s="17" t="s">
        <v>46</v>
      </c>
      <c r="F31" s="18" t="s">
        <v>4833</v>
      </c>
      <c r="G31" s="18" t="s">
        <v>4834</v>
      </c>
      <c r="H31" s="18" t="s">
        <v>156</v>
      </c>
      <c r="I31" s="18"/>
      <c r="J31" s="16" t="s">
        <v>51</v>
      </c>
      <c r="K31" s="18"/>
    </row>
    <row r="32" spans="1:11" ht="19.5" customHeight="1">
      <c r="A32" s="22" t="s">
        <v>4835</v>
      </c>
      <c r="B32" s="23"/>
      <c r="C32" s="23"/>
      <c r="D32" s="23"/>
      <c r="E32" s="23"/>
      <c r="F32" s="23"/>
      <c r="G32" s="23"/>
      <c r="H32" s="23"/>
      <c r="I32" s="23"/>
      <c r="J32" s="23"/>
      <c r="K32" s="23"/>
    </row>
    <row r="33" spans="1:11" ht="126" customHeight="1">
      <c r="A33" s="24" t="s">
        <v>4836</v>
      </c>
      <c r="B33" s="25" t="s">
        <v>4837</v>
      </c>
      <c r="C33" s="25" t="s">
        <v>4838</v>
      </c>
      <c r="D33" s="26" t="s">
        <v>38</v>
      </c>
      <c r="E33" s="24" t="s">
        <v>45</v>
      </c>
      <c r="F33" s="25" t="s">
        <v>4839</v>
      </c>
      <c r="G33" s="25" t="s">
        <v>4840</v>
      </c>
      <c r="H33" s="25" t="s">
        <v>4841</v>
      </c>
      <c r="I33" s="25"/>
      <c r="J33" s="16" t="s">
        <v>51</v>
      </c>
      <c r="K33" s="25" t="s">
        <v>4842</v>
      </c>
    </row>
    <row r="34" spans="1:11" ht="84" customHeight="1">
      <c r="A34" s="24" t="s">
        <v>4843</v>
      </c>
      <c r="B34" s="25" t="s">
        <v>4837</v>
      </c>
      <c r="C34" s="25" t="s">
        <v>4844</v>
      </c>
      <c r="D34" s="26" t="s">
        <v>39</v>
      </c>
      <c r="E34" s="24" t="s">
        <v>45</v>
      </c>
      <c r="F34" s="25" t="s">
        <v>4845</v>
      </c>
      <c r="G34" s="25" t="s">
        <v>4846</v>
      </c>
      <c r="H34" s="25" t="s">
        <v>4847</v>
      </c>
      <c r="I34" s="25"/>
      <c r="J34" s="16" t="s">
        <v>51</v>
      </c>
      <c r="K34" s="25" t="s">
        <v>4848</v>
      </c>
    </row>
    <row r="35" spans="1:11" ht="69.75" customHeight="1">
      <c r="A35" s="24" t="s">
        <v>4849</v>
      </c>
      <c r="B35" s="25" t="s">
        <v>4837</v>
      </c>
      <c r="C35" s="25" t="s">
        <v>4850</v>
      </c>
      <c r="D35" s="26" t="s">
        <v>39</v>
      </c>
      <c r="E35" s="24" t="s">
        <v>46</v>
      </c>
      <c r="F35" s="25" t="s">
        <v>4851</v>
      </c>
      <c r="G35" s="25" t="s">
        <v>109</v>
      </c>
      <c r="H35" s="25" t="s">
        <v>4852</v>
      </c>
      <c r="I35" s="25"/>
      <c r="J35" s="16" t="s">
        <v>51</v>
      </c>
      <c r="K35" s="25" t="s">
        <v>4853</v>
      </c>
    </row>
    <row r="36" spans="1:11" ht="69.75" customHeight="1">
      <c r="A36" s="24" t="s">
        <v>4854</v>
      </c>
      <c r="B36" s="25" t="s">
        <v>4837</v>
      </c>
      <c r="C36" s="25" t="s">
        <v>4855</v>
      </c>
      <c r="D36" s="26" t="s">
        <v>39</v>
      </c>
      <c r="E36" s="24" t="s">
        <v>46</v>
      </c>
      <c r="F36" s="25" t="s">
        <v>4856</v>
      </c>
      <c r="G36" s="25" t="s">
        <v>109</v>
      </c>
      <c r="H36" s="25" t="s">
        <v>4857</v>
      </c>
      <c r="I36" s="25"/>
      <c r="J36" s="16" t="s">
        <v>51</v>
      </c>
      <c r="K36" s="25" t="s">
        <v>4830</v>
      </c>
    </row>
    <row r="37" spans="1:11" ht="55.5" customHeight="1">
      <c r="A37" s="24" t="s">
        <v>4858</v>
      </c>
      <c r="B37" s="25" t="s">
        <v>4837</v>
      </c>
      <c r="C37" s="25" t="s">
        <v>4859</v>
      </c>
      <c r="D37" s="26" t="s">
        <v>39</v>
      </c>
      <c r="E37" s="24" t="s">
        <v>46</v>
      </c>
      <c r="F37" s="25" t="s">
        <v>4860</v>
      </c>
      <c r="G37" s="25" t="s">
        <v>109</v>
      </c>
      <c r="H37" s="25" t="s">
        <v>4861</v>
      </c>
      <c r="I37" s="25"/>
      <c r="J37" s="16" t="s">
        <v>51</v>
      </c>
      <c r="K37" s="25" t="s">
        <v>4862</v>
      </c>
    </row>
    <row r="38" spans="1:11" ht="19.5" customHeight="1">
      <c r="A38" s="22" t="s">
        <v>4863</v>
      </c>
      <c r="B38" s="23"/>
      <c r="C38" s="23"/>
      <c r="D38" s="23"/>
      <c r="E38" s="23"/>
      <c r="F38" s="23"/>
      <c r="G38" s="23"/>
      <c r="H38" s="23"/>
      <c r="I38" s="23"/>
      <c r="J38" s="23"/>
      <c r="K38" s="23"/>
    </row>
    <row r="39" spans="1:11" ht="55.5" customHeight="1">
      <c r="A39" s="13" t="s">
        <v>611</v>
      </c>
      <c r="B39" s="14" t="s">
        <v>612</v>
      </c>
      <c r="C39" s="14" t="s">
        <v>613</v>
      </c>
      <c r="D39" s="15" t="s">
        <v>43</v>
      </c>
      <c r="E39" s="13" t="s">
        <v>46</v>
      </c>
      <c r="F39" s="14" t="s">
        <v>614</v>
      </c>
      <c r="G39" s="14" t="s">
        <v>615</v>
      </c>
      <c r="H39" s="14" t="s">
        <v>616</v>
      </c>
      <c r="I39" s="14"/>
      <c r="J39" s="16" t="s">
        <v>51</v>
      </c>
      <c r="K39" s="14"/>
    </row>
    <row r="40" spans="1:11" ht="42" customHeight="1">
      <c r="A40" s="17" t="s">
        <v>617</v>
      </c>
      <c r="B40" s="18" t="s">
        <v>612</v>
      </c>
      <c r="C40" s="18" t="s">
        <v>618</v>
      </c>
      <c r="D40" s="19" t="s">
        <v>44</v>
      </c>
      <c r="E40" s="17" t="s">
        <v>46</v>
      </c>
      <c r="F40" s="18" t="s">
        <v>619</v>
      </c>
      <c r="G40" s="18" t="s">
        <v>620</v>
      </c>
      <c r="H40" s="18" t="s">
        <v>621</v>
      </c>
      <c r="I40" s="18"/>
      <c r="J40" s="16" t="s">
        <v>51</v>
      </c>
      <c r="K40" s="18"/>
    </row>
    <row r="41" spans="1:11" ht="42" customHeight="1">
      <c r="A41" s="17" t="s">
        <v>622</v>
      </c>
      <c r="B41" s="18" t="s">
        <v>612</v>
      </c>
      <c r="C41" s="18" t="s">
        <v>623</v>
      </c>
      <c r="D41" s="19" t="s">
        <v>44</v>
      </c>
      <c r="E41" s="17" t="s">
        <v>46</v>
      </c>
      <c r="F41" s="18" t="s">
        <v>624</v>
      </c>
      <c r="G41" s="18" t="s">
        <v>625</v>
      </c>
      <c r="H41" s="18" t="s">
        <v>156</v>
      </c>
      <c r="I41" s="18"/>
      <c r="J41" s="16" t="s">
        <v>51</v>
      </c>
      <c r="K41" s="18"/>
    </row>
    <row r="42" spans="1:11" ht="42" customHeight="1">
      <c r="A42" s="17" t="s">
        <v>626</v>
      </c>
      <c r="B42" s="18" t="s">
        <v>612</v>
      </c>
      <c r="C42" s="18" t="s">
        <v>627</v>
      </c>
      <c r="D42" s="19" t="s">
        <v>44</v>
      </c>
      <c r="E42" s="17" t="s">
        <v>47</v>
      </c>
      <c r="F42" s="18" t="s">
        <v>628</v>
      </c>
      <c r="G42" s="18" t="s">
        <v>629</v>
      </c>
      <c r="H42" s="18" t="s">
        <v>630</v>
      </c>
      <c r="I42" s="18"/>
      <c r="J42" s="16" t="s">
        <v>51</v>
      </c>
      <c r="K42" s="18" t="s">
        <v>631</v>
      </c>
    </row>
    <row r="43" spans="1:11" ht="69.75" customHeight="1">
      <c r="A43" s="13" t="s">
        <v>632</v>
      </c>
      <c r="B43" s="14" t="s">
        <v>612</v>
      </c>
      <c r="C43" s="14" t="s">
        <v>633</v>
      </c>
      <c r="D43" s="15" t="s">
        <v>43</v>
      </c>
      <c r="E43" s="13" t="s">
        <v>46</v>
      </c>
      <c r="F43" s="14" t="s">
        <v>634</v>
      </c>
      <c r="G43" s="14" t="s">
        <v>635</v>
      </c>
      <c r="H43" s="14" t="s">
        <v>636</v>
      </c>
      <c r="I43" s="14"/>
      <c r="J43" s="16" t="s">
        <v>51</v>
      </c>
      <c r="K43" s="14"/>
    </row>
    <row r="44" spans="1:11" ht="42" customHeight="1">
      <c r="A44" s="17" t="s">
        <v>637</v>
      </c>
      <c r="B44" s="18" t="s">
        <v>612</v>
      </c>
      <c r="C44" s="18" t="s">
        <v>638</v>
      </c>
      <c r="D44" s="19" t="s">
        <v>44</v>
      </c>
      <c r="E44" s="17" t="s">
        <v>46</v>
      </c>
      <c r="F44" s="18" t="s">
        <v>639</v>
      </c>
      <c r="G44" s="18" t="s">
        <v>640</v>
      </c>
      <c r="H44" s="18" t="s">
        <v>641</v>
      </c>
      <c r="I44" s="18"/>
      <c r="J44" s="16" t="s">
        <v>51</v>
      </c>
      <c r="K44" s="18"/>
    </row>
    <row r="45" spans="1:11" ht="55.5" customHeight="1">
      <c r="A45" s="17" t="s">
        <v>642</v>
      </c>
      <c r="B45" s="18" t="s">
        <v>612</v>
      </c>
      <c r="C45" s="18" t="s">
        <v>643</v>
      </c>
      <c r="D45" s="19" t="s">
        <v>44</v>
      </c>
      <c r="E45" s="17" t="s">
        <v>46</v>
      </c>
      <c r="F45" s="18" t="s">
        <v>644</v>
      </c>
      <c r="G45" s="18" t="s">
        <v>645</v>
      </c>
      <c r="H45" s="18" t="s">
        <v>646</v>
      </c>
      <c r="I45" s="18"/>
      <c r="J45" s="16" t="s">
        <v>51</v>
      </c>
      <c r="K45" s="18" t="s">
        <v>631</v>
      </c>
    </row>
    <row r="46" spans="1:11" ht="55.5" customHeight="1">
      <c r="A46" s="17" t="s">
        <v>647</v>
      </c>
      <c r="B46" s="18" t="s">
        <v>612</v>
      </c>
      <c r="C46" s="18" t="s">
        <v>648</v>
      </c>
      <c r="D46" s="19" t="s">
        <v>44</v>
      </c>
      <c r="E46" s="17" t="s">
        <v>47</v>
      </c>
      <c r="F46" s="18" t="s">
        <v>649</v>
      </c>
      <c r="G46" s="18" t="s">
        <v>650</v>
      </c>
      <c r="H46" s="18" t="s">
        <v>651</v>
      </c>
      <c r="I46" s="18"/>
      <c r="J46" s="16" t="s">
        <v>51</v>
      </c>
      <c r="K46" s="18" t="s">
        <v>631</v>
      </c>
    </row>
    <row r="47" spans="1:11" ht="69.75" customHeight="1">
      <c r="A47" s="13" t="s">
        <v>652</v>
      </c>
      <c r="B47" s="14" t="s">
        <v>612</v>
      </c>
      <c r="C47" s="14" t="s">
        <v>653</v>
      </c>
      <c r="D47" s="15" t="s">
        <v>43</v>
      </c>
      <c r="E47" s="13" t="s">
        <v>46</v>
      </c>
      <c r="F47" s="14" t="s">
        <v>654</v>
      </c>
      <c r="G47" s="14" t="s">
        <v>655</v>
      </c>
      <c r="H47" s="14" t="s">
        <v>656</v>
      </c>
      <c r="I47" s="14"/>
      <c r="J47" s="16" t="s">
        <v>51</v>
      </c>
      <c r="K47" s="14"/>
    </row>
    <row r="48" spans="1:11" ht="42" customHeight="1">
      <c r="A48" s="17" t="s">
        <v>657</v>
      </c>
      <c r="B48" s="18" t="s">
        <v>612</v>
      </c>
      <c r="C48" s="18" t="s">
        <v>658</v>
      </c>
      <c r="D48" s="19" t="s">
        <v>44</v>
      </c>
      <c r="E48" s="17" t="s">
        <v>46</v>
      </c>
      <c r="F48" s="18" t="s">
        <v>659</v>
      </c>
      <c r="G48" s="18" t="s">
        <v>660</v>
      </c>
      <c r="H48" s="18" t="s">
        <v>661</v>
      </c>
      <c r="I48" s="18"/>
      <c r="J48" s="16" t="s">
        <v>51</v>
      </c>
      <c r="K48" s="18"/>
    </row>
    <row r="49" spans="1:11" ht="55.5" customHeight="1">
      <c r="A49" s="17" t="s">
        <v>662</v>
      </c>
      <c r="B49" s="18" t="s">
        <v>612</v>
      </c>
      <c r="C49" s="18" t="s">
        <v>663</v>
      </c>
      <c r="D49" s="19" t="s">
        <v>44</v>
      </c>
      <c r="E49" s="17" t="s">
        <v>46</v>
      </c>
      <c r="F49" s="18" t="s">
        <v>664</v>
      </c>
      <c r="G49" s="18" t="s">
        <v>665</v>
      </c>
      <c r="H49" s="18" t="s">
        <v>666</v>
      </c>
      <c r="I49" s="18"/>
      <c r="J49" s="16" t="s">
        <v>51</v>
      </c>
      <c r="K49" s="18" t="s">
        <v>631</v>
      </c>
    </row>
    <row r="50" spans="1:11" ht="55.5" customHeight="1">
      <c r="A50" s="17" t="s">
        <v>667</v>
      </c>
      <c r="B50" s="18" t="s">
        <v>612</v>
      </c>
      <c r="C50" s="18" t="s">
        <v>668</v>
      </c>
      <c r="D50" s="19" t="s">
        <v>44</v>
      </c>
      <c r="E50" s="17" t="s">
        <v>47</v>
      </c>
      <c r="F50" s="18" t="s">
        <v>669</v>
      </c>
      <c r="G50" s="18" t="s">
        <v>670</v>
      </c>
      <c r="H50" s="18" t="s">
        <v>651</v>
      </c>
      <c r="I50" s="18"/>
      <c r="J50" s="16" t="s">
        <v>51</v>
      </c>
      <c r="K50" s="18" t="s">
        <v>631</v>
      </c>
    </row>
    <row r="51" spans="1:11" ht="55.5" customHeight="1">
      <c r="A51" s="13" t="s">
        <v>671</v>
      </c>
      <c r="B51" s="14" t="s">
        <v>612</v>
      </c>
      <c r="C51" s="14" t="s">
        <v>672</v>
      </c>
      <c r="D51" s="15" t="s">
        <v>43</v>
      </c>
      <c r="E51" s="13" t="s">
        <v>46</v>
      </c>
      <c r="F51" s="14" t="s">
        <v>673</v>
      </c>
      <c r="G51" s="14" t="s">
        <v>674</v>
      </c>
      <c r="H51" s="14" t="s">
        <v>675</v>
      </c>
      <c r="I51" s="14"/>
      <c r="J51" s="16" t="s">
        <v>51</v>
      </c>
      <c r="K51" s="14"/>
    </row>
    <row r="52" spans="1:11" ht="42" customHeight="1">
      <c r="A52" s="17" t="s">
        <v>676</v>
      </c>
      <c r="B52" s="18" t="s">
        <v>612</v>
      </c>
      <c r="C52" s="18" t="s">
        <v>677</v>
      </c>
      <c r="D52" s="19" t="s">
        <v>44</v>
      </c>
      <c r="E52" s="17" t="s">
        <v>46</v>
      </c>
      <c r="F52" s="18" t="s">
        <v>678</v>
      </c>
      <c r="G52" s="18" t="s">
        <v>679</v>
      </c>
      <c r="H52" s="18" t="s">
        <v>680</v>
      </c>
      <c r="I52" s="18"/>
      <c r="J52" s="16" t="s">
        <v>51</v>
      </c>
      <c r="K52" s="18"/>
    </row>
    <row r="53" spans="1:11" ht="42" customHeight="1">
      <c r="A53" s="17" t="s">
        <v>681</v>
      </c>
      <c r="B53" s="18" t="s">
        <v>612</v>
      </c>
      <c r="C53" s="18" t="s">
        <v>682</v>
      </c>
      <c r="D53" s="19" t="s">
        <v>44</v>
      </c>
      <c r="E53" s="17" t="s">
        <v>46</v>
      </c>
      <c r="F53" s="18" t="s">
        <v>683</v>
      </c>
      <c r="G53" s="18" t="s">
        <v>684</v>
      </c>
      <c r="H53" s="18" t="s">
        <v>156</v>
      </c>
      <c r="I53" s="18"/>
      <c r="J53" s="16" t="s">
        <v>51</v>
      </c>
      <c r="K53" s="18"/>
    </row>
    <row r="54" spans="1:11" ht="42" customHeight="1">
      <c r="A54" s="17" t="s">
        <v>685</v>
      </c>
      <c r="B54" s="18" t="s">
        <v>612</v>
      </c>
      <c r="C54" s="18" t="s">
        <v>686</v>
      </c>
      <c r="D54" s="19" t="s">
        <v>44</v>
      </c>
      <c r="E54" s="17" t="s">
        <v>47</v>
      </c>
      <c r="F54" s="18" t="s">
        <v>687</v>
      </c>
      <c r="G54" s="18" t="s">
        <v>688</v>
      </c>
      <c r="H54" s="18" t="s">
        <v>630</v>
      </c>
      <c r="I54" s="18"/>
      <c r="J54" s="16" t="s">
        <v>51</v>
      </c>
      <c r="K54" s="18" t="s">
        <v>631</v>
      </c>
    </row>
    <row r="55" spans="1:11" ht="55.5" customHeight="1">
      <c r="A55" s="13" t="s">
        <v>689</v>
      </c>
      <c r="B55" s="14" t="s">
        <v>612</v>
      </c>
      <c r="C55" s="14" t="s">
        <v>690</v>
      </c>
      <c r="D55" s="15" t="s">
        <v>43</v>
      </c>
      <c r="E55" s="13" t="s">
        <v>46</v>
      </c>
      <c r="F55" s="14" t="s">
        <v>691</v>
      </c>
      <c r="G55" s="14" t="s">
        <v>692</v>
      </c>
      <c r="H55" s="14" t="s">
        <v>693</v>
      </c>
      <c r="I55" s="14"/>
      <c r="J55" s="16" t="s">
        <v>51</v>
      </c>
      <c r="K55" s="14"/>
    </row>
    <row r="56" spans="1:11" ht="42" customHeight="1">
      <c r="A56" s="17" t="s">
        <v>694</v>
      </c>
      <c r="B56" s="18" t="s">
        <v>612</v>
      </c>
      <c r="C56" s="18" t="s">
        <v>695</v>
      </c>
      <c r="D56" s="19" t="s">
        <v>44</v>
      </c>
      <c r="E56" s="17" t="s">
        <v>46</v>
      </c>
      <c r="F56" s="18" t="s">
        <v>696</v>
      </c>
      <c r="G56" s="18" t="s">
        <v>697</v>
      </c>
      <c r="H56" s="18" t="s">
        <v>156</v>
      </c>
      <c r="I56" s="18"/>
      <c r="J56" s="16" t="s">
        <v>51</v>
      </c>
      <c r="K56" s="18"/>
    </row>
    <row r="57" spans="1:11" ht="42" customHeight="1">
      <c r="A57" s="17" t="s">
        <v>698</v>
      </c>
      <c r="B57" s="18" t="s">
        <v>612</v>
      </c>
      <c r="C57" s="18" t="s">
        <v>699</v>
      </c>
      <c r="D57" s="19" t="s">
        <v>44</v>
      </c>
      <c r="E57" s="17" t="s">
        <v>47</v>
      </c>
      <c r="F57" s="18" t="s">
        <v>700</v>
      </c>
      <c r="G57" s="18" t="s">
        <v>701</v>
      </c>
      <c r="H57" s="18" t="s">
        <v>630</v>
      </c>
      <c r="I57" s="18"/>
      <c r="J57" s="16" t="s">
        <v>51</v>
      </c>
      <c r="K57" s="18" t="s">
        <v>631</v>
      </c>
    </row>
    <row r="58" spans="1:11" ht="42" customHeight="1">
      <c r="A58" s="13" t="s">
        <v>702</v>
      </c>
      <c r="B58" s="14" t="s">
        <v>612</v>
      </c>
      <c r="C58" s="14" t="s">
        <v>703</v>
      </c>
      <c r="D58" s="15" t="s">
        <v>43</v>
      </c>
      <c r="E58" s="13" t="s">
        <v>46</v>
      </c>
      <c r="F58" s="14" t="s">
        <v>704</v>
      </c>
      <c r="G58" s="14" t="s">
        <v>705</v>
      </c>
      <c r="H58" s="14" t="s">
        <v>706</v>
      </c>
      <c r="I58" s="14"/>
      <c r="J58" s="16" t="s">
        <v>51</v>
      </c>
      <c r="K58" s="14"/>
    </row>
    <row r="59" spans="1:11" ht="27.75" customHeight="1">
      <c r="A59" s="17" t="s">
        <v>707</v>
      </c>
      <c r="B59" s="18" t="s">
        <v>612</v>
      </c>
      <c r="C59" s="18" t="s">
        <v>708</v>
      </c>
      <c r="D59" s="19" t="s">
        <v>44</v>
      </c>
      <c r="E59" s="17" t="s">
        <v>46</v>
      </c>
      <c r="F59" s="18" t="s">
        <v>709</v>
      </c>
      <c r="G59" s="18" t="s">
        <v>710</v>
      </c>
      <c r="H59" s="18" t="s">
        <v>711</v>
      </c>
      <c r="I59" s="18"/>
      <c r="J59" s="16" t="s">
        <v>51</v>
      </c>
      <c r="K59" s="18"/>
    </row>
    <row r="60" spans="1:11" ht="42" customHeight="1">
      <c r="A60" s="17" t="s">
        <v>712</v>
      </c>
      <c r="B60" s="18" t="s">
        <v>612</v>
      </c>
      <c r="C60" s="18" t="s">
        <v>713</v>
      </c>
      <c r="D60" s="19" t="s">
        <v>44</v>
      </c>
      <c r="E60" s="17" t="s">
        <v>46</v>
      </c>
      <c r="F60" s="18" t="s">
        <v>714</v>
      </c>
      <c r="G60" s="18" t="s">
        <v>715</v>
      </c>
      <c r="H60" s="18" t="s">
        <v>156</v>
      </c>
      <c r="I60" s="18"/>
      <c r="J60" s="16" t="s">
        <v>51</v>
      </c>
      <c r="K60" s="18"/>
    </row>
    <row r="61" spans="1:11" ht="42" customHeight="1">
      <c r="A61" s="17" t="s">
        <v>716</v>
      </c>
      <c r="B61" s="18" t="s">
        <v>612</v>
      </c>
      <c r="C61" s="18" t="s">
        <v>717</v>
      </c>
      <c r="D61" s="19" t="s">
        <v>44</v>
      </c>
      <c r="E61" s="17" t="s">
        <v>47</v>
      </c>
      <c r="F61" s="18" t="s">
        <v>718</v>
      </c>
      <c r="G61" s="18" t="s">
        <v>719</v>
      </c>
      <c r="H61" s="18" t="s">
        <v>630</v>
      </c>
      <c r="I61" s="18"/>
      <c r="J61" s="16" t="s">
        <v>51</v>
      </c>
      <c r="K61" s="18" t="s">
        <v>631</v>
      </c>
    </row>
    <row r="62" spans="1:11" ht="69.75" customHeight="1">
      <c r="A62" s="13" t="s">
        <v>720</v>
      </c>
      <c r="B62" s="14" t="s">
        <v>612</v>
      </c>
      <c r="C62" s="14" t="s">
        <v>721</v>
      </c>
      <c r="D62" s="15" t="s">
        <v>43</v>
      </c>
      <c r="E62" s="13" t="s">
        <v>46</v>
      </c>
      <c r="F62" s="14" t="s">
        <v>722</v>
      </c>
      <c r="G62" s="14" t="s">
        <v>723</v>
      </c>
      <c r="H62" s="14" t="s">
        <v>724</v>
      </c>
      <c r="I62" s="14"/>
      <c r="J62" s="16" t="s">
        <v>51</v>
      </c>
      <c r="K62" s="14"/>
    </row>
    <row r="63" spans="1:11" ht="27.75" customHeight="1">
      <c r="A63" s="17" t="s">
        <v>725</v>
      </c>
      <c r="B63" s="18" t="s">
        <v>612</v>
      </c>
      <c r="C63" s="18" t="s">
        <v>726</v>
      </c>
      <c r="D63" s="19" t="s">
        <v>44</v>
      </c>
      <c r="E63" s="17" t="s">
        <v>46</v>
      </c>
      <c r="F63" s="18" t="s">
        <v>727</v>
      </c>
      <c r="G63" s="18" t="s">
        <v>728</v>
      </c>
      <c r="H63" s="18" t="s">
        <v>729</v>
      </c>
      <c r="I63" s="18"/>
      <c r="J63" s="16" t="s">
        <v>51</v>
      </c>
      <c r="K63" s="18"/>
    </row>
    <row r="64" spans="1:11" ht="55.5" customHeight="1">
      <c r="A64" s="17" t="s">
        <v>730</v>
      </c>
      <c r="B64" s="18" t="s">
        <v>612</v>
      </c>
      <c r="C64" s="18" t="s">
        <v>731</v>
      </c>
      <c r="D64" s="19" t="s">
        <v>44</v>
      </c>
      <c r="E64" s="17" t="s">
        <v>46</v>
      </c>
      <c r="F64" s="18" t="s">
        <v>732</v>
      </c>
      <c r="G64" s="18" t="s">
        <v>733</v>
      </c>
      <c r="H64" s="18" t="s">
        <v>734</v>
      </c>
      <c r="I64" s="18"/>
      <c r="J64" s="16" t="s">
        <v>51</v>
      </c>
      <c r="K64" s="18" t="s">
        <v>631</v>
      </c>
    </row>
    <row r="65" spans="1:11" ht="55.5" customHeight="1">
      <c r="A65" s="17" t="s">
        <v>735</v>
      </c>
      <c r="B65" s="18" t="s">
        <v>612</v>
      </c>
      <c r="C65" s="18" t="s">
        <v>736</v>
      </c>
      <c r="D65" s="19" t="s">
        <v>44</v>
      </c>
      <c r="E65" s="17" t="s">
        <v>47</v>
      </c>
      <c r="F65" s="18" t="s">
        <v>737</v>
      </c>
      <c r="G65" s="18" t="s">
        <v>738</v>
      </c>
      <c r="H65" s="18" t="s">
        <v>651</v>
      </c>
      <c r="I65" s="18"/>
      <c r="J65" s="16" t="s">
        <v>51</v>
      </c>
      <c r="K65" s="18" t="s">
        <v>631</v>
      </c>
    </row>
    <row r="66" spans="1:11" ht="42" customHeight="1">
      <c r="A66" s="13" t="s">
        <v>739</v>
      </c>
      <c r="B66" s="14" t="s">
        <v>612</v>
      </c>
      <c r="C66" s="14" t="s">
        <v>740</v>
      </c>
      <c r="D66" s="15" t="s">
        <v>43</v>
      </c>
      <c r="E66" s="13" t="s">
        <v>46</v>
      </c>
      <c r="F66" s="14" t="s">
        <v>741</v>
      </c>
      <c r="G66" s="14" t="s">
        <v>742</v>
      </c>
      <c r="H66" s="14" t="s">
        <v>743</v>
      </c>
      <c r="I66" s="14"/>
      <c r="J66" s="16" t="s">
        <v>51</v>
      </c>
      <c r="K66" s="14"/>
    </row>
    <row r="67" spans="1:11" ht="42" customHeight="1">
      <c r="A67" s="17" t="s">
        <v>744</v>
      </c>
      <c r="B67" s="18" t="s">
        <v>612</v>
      </c>
      <c r="C67" s="18" t="s">
        <v>745</v>
      </c>
      <c r="D67" s="19" t="s">
        <v>44</v>
      </c>
      <c r="E67" s="17" t="s">
        <v>46</v>
      </c>
      <c r="F67" s="18" t="s">
        <v>746</v>
      </c>
      <c r="G67" s="18" t="s">
        <v>747</v>
      </c>
      <c r="H67" s="18" t="s">
        <v>748</v>
      </c>
      <c r="I67" s="18"/>
      <c r="J67" s="16" t="s">
        <v>51</v>
      </c>
      <c r="K67" s="18"/>
    </row>
    <row r="68" spans="1:11" ht="42" customHeight="1">
      <c r="A68" s="13" t="s">
        <v>749</v>
      </c>
      <c r="B68" s="14" t="s">
        <v>612</v>
      </c>
      <c r="C68" s="14" t="s">
        <v>750</v>
      </c>
      <c r="D68" s="15" t="s">
        <v>43</v>
      </c>
      <c r="E68" s="13" t="s">
        <v>47</v>
      </c>
      <c r="F68" s="14" t="s">
        <v>751</v>
      </c>
      <c r="G68" s="14" t="s">
        <v>752</v>
      </c>
      <c r="H68" s="14" t="s">
        <v>753</v>
      </c>
      <c r="I68" s="14"/>
      <c r="J68" s="16" t="s">
        <v>51</v>
      </c>
      <c r="K68" s="14" t="s">
        <v>631</v>
      </c>
    </row>
    <row r="69" spans="1:11" ht="42" customHeight="1">
      <c r="A69" s="13" t="s">
        <v>754</v>
      </c>
      <c r="B69" s="14" t="s">
        <v>612</v>
      </c>
      <c r="C69" s="14" t="s">
        <v>755</v>
      </c>
      <c r="D69" s="15" t="s">
        <v>43</v>
      </c>
      <c r="E69" s="13" t="s">
        <v>46</v>
      </c>
      <c r="F69" s="14" t="s">
        <v>756</v>
      </c>
      <c r="G69" s="14" t="s">
        <v>757</v>
      </c>
      <c r="H69" s="14" t="s">
        <v>758</v>
      </c>
      <c r="I69" s="14"/>
      <c r="J69" s="16" t="s">
        <v>51</v>
      </c>
      <c r="K69" s="14"/>
    </row>
    <row r="70" spans="1:11" ht="27.75" customHeight="1">
      <c r="A70" s="17" t="s">
        <v>759</v>
      </c>
      <c r="B70" s="18" t="s">
        <v>612</v>
      </c>
      <c r="C70" s="18" t="s">
        <v>760</v>
      </c>
      <c r="D70" s="19" t="s">
        <v>44</v>
      </c>
      <c r="E70" s="17" t="s">
        <v>46</v>
      </c>
      <c r="F70" s="18" t="s">
        <v>761</v>
      </c>
      <c r="G70" s="18" t="s">
        <v>762</v>
      </c>
      <c r="H70" s="18" t="s">
        <v>763</v>
      </c>
      <c r="I70" s="18"/>
      <c r="J70" s="16" t="s">
        <v>51</v>
      </c>
      <c r="K70" s="18"/>
    </row>
    <row r="71" spans="1:11" ht="42" customHeight="1">
      <c r="A71" s="17" t="s">
        <v>764</v>
      </c>
      <c r="B71" s="18" t="s">
        <v>612</v>
      </c>
      <c r="C71" s="18" t="s">
        <v>765</v>
      </c>
      <c r="D71" s="19" t="s">
        <v>44</v>
      </c>
      <c r="E71" s="17" t="s">
        <v>46</v>
      </c>
      <c r="F71" s="18" t="s">
        <v>766</v>
      </c>
      <c r="G71" s="18" t="s">
        <v>767</v>
      </c>
      <c r="H71" s="18" t="s">
        <v>768</v>
      </c>
      <c r="I71" s="18"/>
      <c r="J71" s="16" t="s">
        <v>51</v>
      </c>
      <c r="K71" s="18"/>
    </row>
    <row r="72" spans="1:11" ht="69.75" customHeight="1">
      <c r="A72" s="13" t="s">
        <v>769</v>
      </c>
      <c r="B72" s="14" t="s">
        <v>612</v>
      </c>
      <c r="C72" s="14" t="s">
        <v>770</v>
      </c>
      <c r="D72" s="15" t="s">
        <v>43</v>
      </c>
      <c r="E72" s="13" t="s">
        <v>46</v>
      </c>
      <c r="F72" s="14" t="s">
        <v>771</v>
      </c>
      <c r="G72" s="14" t="s">
        <v>772</v>
      </c>
      <c r="H72" s="14" t="s">
        <v>773</v>
      </c>
      <c r="I72" s="14"/>
      <c r="J72" s="16" t="s">
        <v>51</v>
      </c>
      <c r="K72" s="14"/>
    </row>
    <row r="73" spans="1:11" ht="42" customHeight="1">
      <c r="A73" s="17" t="s">
        <v>774</v>
      </c>
      <c r="B73" s="18" t="s">
        <v>612</v>
      </c>
      <c r="C73" s="18" t="s">
        <v>775</v>
      </c>
      <c r="D73" s="19" t="s">
        <v>44</v>
      </c>
      <c r="E73" s="17" t="s">
        <v>46</v>
      </c>
      <c r="F73" s="18" t="s">
        <v>776</v>
      </c>
      <c r="G73" s="18" t="s">
        <v>777</v>
      </c>
      <c r="H73" s="18" t="s">
        <v>778</v>
      </c>
      <c r="I73" s="18"/>
      <c r="J73" s="16" t="s">
        <v>51</v>
      </c>
      <c r="K73" s="18"/>
    </row>
    <row r="74" spans="1:11" ht="55.5" customHeight="1">
      <c r="A74" s="17" t="s">
        <v>779</v>
      </c>
      <c r="B74" s="18" t="s">
        <v>612</v>
      </c>
      <c r="C74" s="18" t="s">
        <v>780</v>
      </c>
      <c r="D74" s="19" t="s">
        <v>44</v>
      </c>
      <c r="E74" s="17" t="s">
        <v>46</v>
      </c>
      <c r="F74" s="18" t="s">
        <v>781</v>
      </c>
      <c r="G74" s="18" t="s">
        <v>782</v>
      </c>
      <c r="H74" s="18" t="s">
        <v>783</v>
      </c>
      <c r="I74" s="18"/>
      <c r="J74" s="16" t="s">
        <v>51</v>
      </c>
      <c r="K74" s="18" t="s">
        <v>631</v>
      </c>
    </row>
    <row r="75" spans="1:11" ht="55.5" customHeight="1">
      <c r="A75" s="17" t="s">
        <v>784</v>
      </c>
      <c r="B75" s="18" t="s">
        <v>612</v>
      </c>
      <c r="C75" s="18" t="s">
        <v>785</v>
      </c>
      <c r="D75" s="19" t="s">
        <v>44</v>
      </c>
      <c r="E75" s="17" t="s">
        <v>47</v>
      </c>
      <c r="F75" s="18" t="s">
        <v>786</v>
      </c>
      <c r="G75" s="18" t="s">
        <v>787</v>
      </c>
      <c r="H75" s="18" t="s">
        <v>651</v>
      </c>
      <c r="I75" s="18"/>
      <c r="J75" s="16" t="s">
        <v>51</v>
      </c>
      <c r="K75" s="18" t="s">
        <v>631</v>
      </c>
    </row>
    <row r="76" spans="1:11" ht="55.5" customHeight="1">
      <c r="A76" s="13" t="s">
        <v>788</v>
      </c>
      <c r="B76" s="14" t="s">
        <v>612</v>
      </c>
      <c r="C76" s="14" t="s">
        <v>789</v>
      </c>
      <c r="D76" s="15" t="s">
        <v>43</v>
      </c>
      <c r="E76" s="13" t="s">
        <v>46</v>
      </c>
      <c r="F76" s="14" t="s">
        <v>790</v>
      </c>
      <c r="G76" s="14" t="s">
        <v>791</v>
      </c>
      <c r="H76" s="14" t="s">
        <v>758</v>
      </c>
      <c r="I76" s="14"/>
      <c r="J76" s="16" t="s">
        <v>51</v>
      </c>
      <c r="K76" s="14"/>
    </row>
    <row r="77" spans="1:11" ht="27.75" customHeight="1">
      <c r="A77" s="17" t="s">
        <v>792</v>
      </c>
      <c r="B77" s="18" t="s">
        <v>612</v>
      </c>
      <c r="C77" s="18" t="s">
        <v>793</v>
      </c>
      <c r="D77" s="19" t="s">
        <v>44</v>
      </c>
      <c r="E77" s="17" t="s">
        <v>46</v>
      </c>
      <c r="F77" s="18" t="s">
        <v>794</v>
      </c>
      <c r="G77" s="18" t="s">
        <v>795</v>
      </c>
      <c r="H77" s="18" t="s">
        <v>796</v>
      </c>
      <c r="I77" s="18"/>
      <c r="J77" s="16" t="s">
        <v>51</v>
      </c>
      <c r="K77" s="18"/>
    </row>
    <row r="78" spans="1:11" ht="42" customHeight="1">
      <c r="A78" s="17" t="s">
        <v>797</v>
      </c>
      <c r="B78" s="18" t="s">
        <v>612</v>
      </c>
      <c r="C78" s="18" t="s">
        <v>798</v>
      </c>
      <c r="D78" s="19" t="s">
        <v>44</v>
      </c>
      <c r="E78" s="17" t="s">
        <v>46</v>
      </c>
      <c r="F78" s="18" t="s">
        <v>799</v>
      </c>
      <c r="G78" s="18" t="s">
        <v>800</v>
      </c>
      <c r="H78" s="18" t="s">
        <v>801</v>
      </c>
      <c r="I78" s="18"/>
      <c r="J78" s="16" t="s">
        <v>51</v>
      </c>
      <c r="K78" s="18"/>
    </row>
    <row r="79" spans="1:11" ht="42" customHeight="1">
      <c r="A79" s="13" t="s">
        <v>802</v>
      </c>
      <c r="B79" s="14" t="s">
        <v>612</v>
      </c>
      <c r="C79" s="14" t="s">
        <v>803</v>
      </c>
      <c r="D79" s="15" t="s">
        <v>43</v>
      </c>
      <c r="E79" s="13" t="s">
        <v>46</v>
      </c>
      <c r="F79" s="14" t="s">
        <v>804</v>
      </c>
      <c r="G79" s="14" t="s">
        <v>805</v>
      </c>
      <c r="H79" s="14" t="s">
        <v>743</v>
      </c>
      <c r="I79" s="14"/>
      <c r="J79" s="16" t="s">
        <v>51</v>
      </c>
      <c r="K79" s="14"/>
    </row>
    <row r="80" spans="1:11" ht="42" customHeight="1">
      <c r="A80" s="17" t="s">
        <v>806</v>
      </c>
      <c r="B80" s="18" t="s">
        <v>612</v>
      </c>
      <c r="C80" s="18" t="s">
        <v>807</v>
      </c>
      <c r="D80" s="19" t="s">
        <v>44</v>
      </c>
      <c r="E80" s="17" t="s">
        <v>46</v>
      </c>
      <c r="F80" s="18" t="s">
        <v>808</v>
      </c>
      <c r="G80" s="18" t="s">
        <v>809</v>
      </c>
      <c r="H80" s="18" t="s">
        <v>810</v>
      </c>
      <c r="I80" s="18"/>
      <c r="J80" s="16" t="s">
        <v>51</v>
      </c>
      <c r="K80" s="18"/>
    </row>
    <row r="81" spans="1:11" ht="42" customHeight="1">
      <c r="A81" s="13" t="s">
        <v>811</v>
      </c>
      <c r="B81" s="14" t="s">
        <v>612</v>
      </c>
      <c r="C81" s="14" t="s">
        <v>812</v>
      </c>
      <c r="D81" s="15" t="s">
        <v>43</v>
      </c>
      <c r="E81" s="13" t="s">
        <v>47</v>
      </c>
      <c r="F81" s="14" t="s">
        <v>813</v>
      </c>
      <c r="G81" s="14" t="s">
        <v>814</v>
      </c>
      <c r="H81" s="14" t="s">
        <v>753</v>
      </c>
      <c r="I81" s="14"/>
      <c r="J81" s="16" t="s">
        <v>51</v>
      </c>
      <c r="K81" s="14" t="s">
        <v>631</v>
      </c>
    </row>
    <row r="82" spans="1:11" ht="55.5" customHeight="1">
      <c r="A82" s="13" t="s">
        <v>815</v>
      </c>
      <c r="B82" s="14" t="s">
        <v>612</v>
      </c>
      <c r="C82" s="14" t="s">
        <v>816</v>
      </c>
      <c r="D82" s="15" t="s">
        <v>43</v>
      </c>
      <c r="E82" s="13" t="s">
        <v>46</v>
      </c>
      <c r="F82" s="14" t="s">
        <v>817</v>
      </c>
      <c r="G82" s="14" t="s">
        <v>818</v>
      </c>
      <c r="H82" s="14" t="s">
        <v>819</v>
      </c>
      <c r="I82" s="14"/>
      <c r="J82" s="16" t="s">
        <v>51</v>
      </c>
      <c r="K82" s="14"/>
    </row>
    <row r="83" spans="1:11" ht="27.75" customHeight="1">
      <c r="A83" s="17" t="s">
        <v>820</v>
      </c>
      <c r="B83" s="18" t="s">
        <v>612</v>
      </c>
      <c r="C83" s="18" t="s">
        <v>821</v>
      </c>
      <c r="D83" s="19" t="s">
        <v>44</v>
      </c>
      <c r="E83" s="17" t="s">
        <v>46</v>
      </c>
      <c r="F83" s="18" t="s">
        <v>822</v>
      </c>
      <c r="G83" s="18" t="s">
        <v>823</v>
      </c>
      <c r="H83" s="18" t="s">
        <v>824</v>
      </c>
      <c r="I83" s="18"/>
      <c r="J83" s="16" t="s">
        <v>51</v>
      </c>
      <c r="K83" s="18"/>
    </row>
    <row r="84" spans="1:11" ht="42" customHeight="1">
      <c r="A84" s="17" t="s">
        <v>825</v>
      </c>
      <c r="B84" s="18" t="s">
        <v>612</v>
      </c>
      <c r="C84" s="18" t="s">
        <v>826</v>
      </c>
      <c r="D84" s="19" t="s">
        <v>44</v>
      </c>
      <c r="E84" s="17" t="s">
        <v>46</v>
      </c>
      <c r="F84" s="18" t="s">
        <v>827</v>
      </c>
      <c r="G84" s="18" t="s">
        <v>828</v>
      </c>
      <c r="H84" s="18" t="s">
        <v>829</v>
      </c>
      <c r="I84" s="18"/>
      <c r="J84" s="16" t="s">
        <v>51</v>
      </c>
      <c r="K84" s="18" t="s">
        <v>631</v>
      </c>
    </row>
    <row r="85" spans="1:11" ht="42" customHeight="1">
      <c r="A85" s="17" t="s">
        <v>830</v>
      </c>
      <c r="B85" s="18" t="s">
        <v>612</v>
      </c>
      <c r="C85" s="18" t="s">
        <v>831</v>
      </c>
      <c r="D85" s="19" t="s">
        <v>44</v>
      </c>
      <c r="E85" s="17" t="s">
        <v>46</v>
      </c>
      <c r="F85" s="18" t="s">
        <v>832</v>
      </c>
      <c r="G85" s="18" t="s">
        <v>833</v>
      </c>
      <c r="H85" s="18" t="s">
        <v>834</v>
      </c>
      <c r="I85" s="18"/>
      <c r="J85" s="16" t="s">
        <v>51</v>
      </c>
      <c r="K85" s="18"/>
    </row>
    <row r="86" spans="1:11" ht="55.5" customHeight="1">
      <c r="A86" s="13" t="s">
        <v>835</v>
      </c>
      <c r="B86" s="14" t="s">
        <v>612</v>
      </c>
      <c r="C86" s="14" t="s">
        <v>836</v>
      </c>
      <c r="D86" s="15" t="s">
        <v>43</v>
      </c>
      <c r="E86" s="13" t="s">
        <v>46</v>
      </c>
      <c r="F86" s="14" t="s">
        <v>837</v>
      </c>
      <c r="G86" s="14" t="s">
        <v>838</v>
      </c>
      <c r="H86" s="14" t="s">
        <v>839</v>
      </c>
      <c r="I86" s="14"/>
      <c r="J86" s="16" t="s">
        <v>51</v>
      </c>
      <c r="K86" s="14"/>
    </row>
    <row r="87" spans="1:11" ht="42" customHeight="1">
      <c r="A87" s="17" t="s">
        <v>840</v>
      </c>
      <c r="B87" s="18" t="s">
        <v>612</v>
      </c>
      <c r="C87" s="18" t="s">
        <v>841</v>
      </c>
      <c r="D87" s="19" t="s">
        <v>44</v>
      </c>
      <c r="E87" s="17" t="s">
        <v>46</v>
      </c>
      <c r="F87" s="18" t="s">
        <v>842</v>
      </c>
      <c r="G87" s="18" t="s">
        <v>843</v>
      </c>
      <c r="H87" s="18" t="s">
        <v>844</v>
      </c>
      <c r="I87" s="18"/>
      <c r="J87" s="16" t="s">
        <v>51</v>
      </c>
      <c r="K87" s="18"/>
    </row>
    <row r="88" spans="1:11" ht="42" customHeight="1">
      <c r="A88" s="17" t="s">
        <v>845</v>
      </c>
      <c r="B88" s="18" t="s">
        <v>612</v>
      </c>
      <c r="C88" s="18" t="s">
        <v>846</v>
      </c>
      <c r="D88" s="19" t="s">
        <v>44</v>
      </c>
      <c r="E88" s="17" t="s">
        <v>46</v>
      </c>
      <c r="F88" s="18" t="s">
        <v>847</v>
      </c>
      <c r="G88" s="18" t="s">
        <v>848</v>
      </c>
      <c r="H88" s="18" t="s">
        <v>156</v>
      </c>
      <c r="I88" s="18"/>
      <c r="J88" s="16" t="s">
        <v>51</v>
      </c>
      <c r="K88" s="18"/>
    </row>
    <row r="89" spans="1:11" ht="42" customHeight="1">
      <c r="A89" s="17" t="s">
        <v>849</v>
      </c>
      <c r="B89" s="18" t="s">
        <v>612</v>
      </c>
      <c r="C89" s="18" t="s">
        <v>850</v>
      </c>
      <c r="D89" s="19" t="s">
        <v>44</v>
      </c>
      <c r="E89" s="17" t="s">
        <v>47</v>
      </c>
      <c r="F89" s="18" t="s">
        <v>851</v>
      </c>
      <c r="G89" s="18" t="s">
        <v>852</v>
      </c>
      <c r="H89" s="18" t="s">
        <v>630</v>
      </c>
      <c r="I89" s="18"/>
      <c r="J89" s="16" t="s">
        <v>51</v>
      </c>
      <c r="K89" s="18" t="s">
        <v>631</v>
      </c>
    </row>
    <row r="90" spans="1:11" ht="55.5" customHeight="1">
      <c r="A90" s="13" t="s">
        <v>853</v>
      </c>
      <c r="B90" s="14" t="s">
        <v>612</v>
      </c>
      <c r="C90" s="14" t="s">
        <v>854</v>
      </c>
      <c r="D90" s="15" t="s">
        <v>43</v>
      </c>
      <c r="E90" s="13" t="s">
        <v>46</v>
      </c>
      <c r="F90" s="14" t="s">
        <v>855</v>
      </c>
      <c r="G90" s="14" t="s">
        <v>856</v>
      </c>
      <c r="H90" s="14" t="s">
        <v>857</v>
      </c>
      <c r="I90" s="14"/>
      <c r="J90" s="16" t="s">
        <v>51</v>
      </c>
      <c r="K90" s="14"/>
    </row>
    <row r="91" spans="1:11" ht="42" customHeight="1">
      <c r="A91" s="17" t="s">
        <v>858</v>
      </c>
      <c r="B91" s="18" t="s">
        <v>612</v>
      </c>
      <c r="C91" s="18" t="s">
        <v>859</v>
      </c>
      <c r="D91" s="19" t="s">
        <v>44</v>
      </c>
      <c r="E91" s="17" t="s">
        <v>46</v>
      </c>
      <c r="F91" s="18" t="s">
        <v>860</v>
      </c>
      <c r="G91" s="18" t="s">
        <v>861</v>
      </c>
      <c r="H91" s="18" t="s">
        <v>862</v>
      </c>
      <c r="I91" s="18"/>
      <c r="J91" s="16" t="s">
        <v>51</v>
      </c>
      <c r="K91" s="18"/>
    </row>
    <row r="92" spans="1:11" ht="42" customHeight="1">
      <c r="A92" s="17" t="s">
        <v>863</v>
      </c>
      <c r="B92" s="18" t="s">
        <v>612</v>
      </c>
      <c r="C92" s="18" t="s">
        <v>864</v>
      </c>
      <c r="D92" s="19" t="s">
        <v>44</v>
      </c>
      <c r="E92" s="17" t="s">
        <v>46</v>
      </c>
      <c r="F92" s="18" t="s">
        <v>865</v>
      </c>
      <c r="G92" s="18" t="s">
        <v>866</v>
      </c>
      <c r="H92" s="18" t="s">
        <v>867</v>
      </c>
      <c r="I92" s="18"/>
      <c r="J92" s="16" t="s">
        <v>51</v>
      </c>
      <c r="K92" s="18" t="s">
        <v>631</v>
      </c>
    </row>
    <row r="93" spans="1:11" ht="69.75" customHeight="1">
      <c r="A93" s="17" t="s">
        <v>868</v>
      </c>
      <c r="B93" s="18" t="s">
        <v>612</v>
      </c>
      <c r="C93" s="18" t="s">
        <v>869</v>
      </c>
      <c r="D93" s="19" t="s">
        <v>44</v>
      </c>
      <c r="E93" s="17" t="s">
        <v>47</v>
      </c>
      <c r="F93" s="18" t="s">
        <v>870</v>
      </c>
      <c r="G93" s="18" t="s">
        <v>871</v>
      </c>
      <c r="H93" s="18" t="s">
        <v>872</v>
      </c>
      <c r="I93" s="18"/>
      <c r="J93" s="16" t="s">
        <v>51</v>
      </c>
      <c r="K93" s="18" t="s">
        <v>631</v>
      </c>
    </row>
    <row r="94" spans="1:11" ht="69.75" customHeight="1">
      <c r="A94" s="17" t="s">
        <v>873</v>
      </c>
      <c r="B94" s="18" t="s">
        <v>612</v>
      </c>
      <c r="C94" s="18" t="s">
        <v>874</v>
      </c>
      <c r="D94" s="19" t="s">
        <v>44</v>
      </c>
      <c r="E94" s="17" t="s">
        <v>47</v>
      </c>
      <c r="F94" s="18" t="s">
        <v>875</v>
      </c>
      <c r="G94" s="18" t="s">
        <v>876</v>
      </c>
      <c r="H94" s="18" t="s">
        <v>877</v>
      </c>
      <c r="I94" s="18"/>
      <c r="J94" s="16" t="s">
        <v>51</v>
      </c>
      <c r="K94" s="18" t="s">
        <v>631</v>
      </c>
    </row>
    <row r="95" spans="1:11" ht="55.5" customHeight="1">
      <c r="A95" s="13" t="s">
        <v>878</v>
      </c>
      <c r="B95" s="14" t="s">
        <v>612</v>
      </c>
      <c r="C95" s="14" t="s">
        <v>879</v>
      </c>
      <c r="D95" s="15" t="s">
        <v>43</v>
      </c>
      <c r="E95" s="13" t="s">
        <v>46</v>
      </c>
      <c r="F95" s="14" t="s">
        <v>880</v>
      </c>
      <c r="G95" s="14" t="s">
        <v>881</v>
      </c>
      <c r="H95" s="14" t="s">
        <v>857</v>
      </c>
      <c r="I95" s="14"/>
      <c r="J95" s="16" t="s">
        <v>51</v>
      </c>
      <c r="K95" s="14"/>
    </row>
    <row r="96" spans="1:11" ht="42" customHeight="1">
      <c r="A96" s="17" t="s">
        <v>882</v>
      </c>
      <c r="B96" s="18" t="s">
        <v>612</v>
      </c>
      <c r="C96" s="18" t="s">
        <v>883</v>
      </c>
      <c r="D96" s="19" t="s">
        <v>44</v>
      </c>
      <c r="E96" s="17" t="s">
        <v>46</v>
      </c>
      <c r="F96" s="18" t="s">
        <v>884</v>
      </c>
      <c r="G96" s="18" t="s">
        <v>885</v>
      </c>
      <c r="H96" s="18" t="s">
        <v>886</v>
      </c>
      <c r="I96" s="18"/>
      <c r="J96" s="16" t="s">
        <v>51</v>
      </c>
      <c r="K96" s="18"/>
    </row>
    <row r="97" spans="1:11" ht="42" customHeight="1">
      <c r="A97" s="17" t="s">
        <v>887</v>
      </c>
      <c r="B97" s="18" t="s">
        <v>612</v>
      </c>
      <c r="C97" s="18" t="s">
        <v>888</v>
      </c>
      <c r="D97" s="19" t="s">
        <v>44</v>
      </c>
      <c r="E97" s="17" t="s">
        <v>46</v>
      </c>
      <c r="F97" s="18" t="s">
        <v>889</v>
      </c>
      <c r="G97" s="18" t="s">
        <v>890</v>
      </c>
      <c r="H97" s="18" t="s">
        <v>867</v>
      </c>
      <c r="I97" s="18"/>
      <c r="J97" s="16" t="s">
        <v>51</v>
      </c>
      <c r="K97" s="18" t="s">
        <v>631</v>
      </c>
    </row>
    <row r="98" spans="1:11" ht="69.75" customHeight="1">
      <c r="A98" s="17" t="s">
        <v>891</v>
      </c>
      <c r="B98" s="18" t="s">
        <v>612</v>
      </c>
      <c r="C98" s="18" t="s">
        <v>892</v>
      </c>
      <c r="D98" s="19" t="s">
        <v>44</v>
      </c>
      <c r="E98" s="17" t="s">
        <v>47</v>
      </c>
      <c r="F98" s="18" t="s">
        <v>893</v>
      </c>
      <c r="G98" s="18" t="s">
        <v>894</v>
      </c>
      <c r="H98" s="18" t="s">
        <v>872</v>
      </c>
      <c r="I98" s="18"/>
      <c r="J98" s="16" t="s">
        <v>51</v>
      </c>
      <c r="K98" s="18" t="s">
        <v>631</v>
      </c>
    </row>
    <row r="99" spans="1:11" ht="84" customHeight="1">
      <c r="A99" s="17" t="s">
        <v>895</v>
      </c>
      <c r="B99" s="18" t="s">
        <v>612</v>
      </c>
      <c r="C99" s="18" t="s">
        <v>896</v>
      </c>
      <c r="D99" s="19" t="s">
        <v>44</v>
      </c>
      <c r="E99" s="17" t="s">
        <v>47</v>
      </c>
      <c r="F99" s="18" t="s">
        <v>897</v>
      </c>
      <c r="G99" s="18" t="s">
        <v>898</v>
      </c>
      <c r="H99" s="18" t="s">
        <v>877</v>
      </c>
      <c r="I99" s="18"/>
      <c r="J99" s="16" t="s">
        <v>51</v>
      </c>
      <c r="K99" s="18" t="s">
        <v>631</v>
      </c>
    </row>
    <row r="100" spans="1:11" ht="55.5" customHeight="1">
      <c r="A100" s="13" t="s">
        <v>899</v>
      </c>
      <c r="B100" s="14" t="s">
        <v>612</v>
      </c>
      <c r="C100" s="14" t="s">
        <v>900</v>
      </c>
      <c r="D100" s="15" t="s">
        <v>43</v>
      </c>
      <c r="E100" s="13" t="s">
        <v>46</v>
      </c>
      <c r="F100" s="14" t="s">
        <v>901</v>
      </c>
      <c r="G100" s="14" t="s">
        <v>902</v>
      </c>
      <c r="H100" s="14" t="s">
        <v>857</v>
      </c>
      <c r="I100" s="14"/>
      <c r="J100" s="16" t="s">
        <v>51</v>
      </c>
      <c r="K100" s="14"/>
    </row>
    <row r="101" spans="1:11" ht="42" customHeight="1">
      <c r="A101" s="17" t="s">
        <v>903</v>
      </c>
      <c r="B101" s="18" t="s">
        <v>612</v>
      </c>
      <c r="C101" s="18" t="s">
        <v>904</v>
      </c>
      <c r="D101" s="19" t="s">
        <v>44</v>
      </c>
      <c r="E101" s="17" t="s">
        <v>46</v>
      </c>
      <c r="F101" s="18" t="s">
        <v>905</v>
      </c>
      <c r="G101" s="18" t="s">
        <v>906</v>
      </c>
      <c r="H101" s="18" t="s">
        <v>907</v>
      </c>
      <c r="I101" s="18"/>
      <c r="J101" s="16" t="s">
        <v>51</v>
      </c>
      <c r="K101" s="18"/>
    </row>
    <row r="102" spans="1:11" ht="42" customHeight="1">
      <c r="A102" s="17" t="s">
        <v>908</v>
      </c>
      <c r="B102" s="18" t="s">
        <v>612</v>
      </c>
      <c r="C102" s="18" t="s">
        <v>909</v>
      </c>
      <c r="D102" s="19" t="s">
        <v>44</v>
      </c>
      <c r="E102" s="17" t="s">
        <v>46</v>
      </c>
      <c r="F102" s="18" t="s">
        <v>910</v>
      </c>
      <c r="G102" s="18" t="s">
        <v>911</v>
      </c>
      <c r="H102" s="18" t="s">
        <v>867</v>
      </c>
      <c r="I102" s="18"/>
      <c r="J102" s="16" t="s">
        <v>51</v>
      </c>
      <c r="K102" s="18" t="s">
        <v>631</v>
      </c>
    </row>
    <row r="103" spans="1:11" ht="69.75" customHeight="1">
      <c r="A103" s="17" t="s">
        <v>912</v>
      </c>
      <c r="B103" s="18" t="s">
        <v>612</v>
      </c>
      <c r="C103" s="18" t="s">
        <v>913</v>
      </c>
      <c r="D103" s="19" t="s">
        <v>44</v>
      </c>
      <c r="E103" s="17" t="s">
        <v>47</v>
      </c>
      <c r="F103" s="18" t="s">
        <v>914</v>
      </c>
      <c r="G103" s="18" t="s">
        <v>915</v>
      </c>
      <c r="H103" s="18" t="s">
        <v>872</v>
      </c>
      <c r="I103" s="18"/>
      <c r="J103" s="16" t="s">
        <v>51</v>
      </c>
      <c r="K103" s="18" t="s">
        <v>631</v>
      </c>
    </row>
    <row r="104" spans="1:11" ht="84" customHeight="1">
      <c r="A104" s="17" t="s">
        <v>916</v>
      </c>
      <c r="B104" s="18" t="s">
        <v>612</v>
      </c>
      <c r="C104" s="18" t="s">
        <v>917</v>
      </c>
      <c r="D104" s="19" t="s">
        <v>44</v>
      </c>
      <c r="E104" s="17" t="s">
        <v>47</v>
      </c>
      <c r="F104" s="18" t="s">
        <v>918</v>
      </c>
      <c r="G104" s="18" t="s">
        <v>919</v>
      </c>
      <c r="H104" s="18" t="s">
        <v>877</v>
      </c>
      <c r="I104" s="18"/>
      <c r="J104" s="16" t="s">
        <v>51</v>
      </c>
      <c r="K104" s="18" t="s">
        <v>631</v>
      </c>
    </row>
    <row r="105" spans="1:11" ht="55.5" customHeight="1">
      <c r="A105" s="13" t="s">
        <v>920</v>
      </c>
      <c r="B105" s="14" t="s">
        <v>612</v>
      </c>
      <c r="C105" s="14" t="s">
        <v>921</v>
      </c>
      <c r="D105" s="15" t="s">
        <v>43</v>
      </c>
      <c r="E105" s="13" t="s">
        <v>46</v>
      </c>
      <c r="F105" s="14" t="s">
        <v>922</v>
      </c>
      <c r="G105" s="14" t="s">
        <v>923</v>
      </c>
      <c r="H105" s="14" t="s">
        <v>857</v>
      </c>
      <c r="I105" s="14"/>
      <c r="J105" s="16" t="s">
        <v>51</v>
      </c>
      <c r="K105" s="14"/>
    </row>
    <row r="106" spans="1:11" ht="42" customHeight="1">
      <c r="A106" s="17" t="s">
        <v>924</v>
      </c>
      <c r="B106" s="18" t="s">
        <v>612</v>
      </c>
      <c r="C106" s="18" t="s">
        <v>925</v>
      </c>
      <c r="D106" s="19" t="s">
        <v>44</v>
      </c>
      <c r="E106" s="17" t="s">
        <v>46</v>
      </c>
      <c r="F106" s="18" t="s">
        <v>926</v>
      </c>
      <c r="G106" s="18" t="s">
        <v>927</v>
      </c>
      <c r="H106" s="18" t="s">
        <v>928</v>
      </c>
      <c r="I106" s="18"/>
      <c r="J106" s="16" t="s">
        <v>51</v>
      </c>
      <c r="K106" s="18"/>
    </row>
    <row r="107" spans="1:11" ht="42" customHeight="1">
      <c r="A107" s="17" t="s">
        <v>929</v>
      </c>
      <c r="B107" s="18" t="s">
        <v>612</v>
      </c>
      <c r="C107" s="18" t="s">
        <v>930</v>
      </c>
      <c r="D107" s="19" t="s">
        <v>44</v>
      </c>
      <c r="E107" s="17" t="s">
        <v>46</v>
      </c>
      <c r="F107" s="18" t="s">
        <v>931</v>
      </c>
      <c r="G107" s="18" t="s">
        <v>932</v>
      </c>
      <c r="H107" s="18" t="s">
        <v>867</v>
      </c>
      <c r="I107" s="18"/>
      <c r="J107" s="16" t="s">
        <v>51</v>
      </c>
      <c r="K107" s="18" t="s">
        <v>631</v>
      </c>
    </row>
    <row r="108" spans="1:11" ht="69.75" customHeight="1">
      <c r="A108" s="17" t="s">
        <v>933</v>
      </c>
      <c r="B108" s="18" t="s">
        <v>612</v>
      </c>
      <c r="C108" s="18" t="s">
        <v>934</v>
      </c>
      <c r="D108" s="19" t="s">
        <v>44</v>
      </c>
      <c r="E108" s="17" t="s">
        <v>47</v>
      </c>
      <c r="F108" s="18" t="s">
        <v>935</v>
      </c>
      <c r="G108" s="18" t="s">
        <v>936</v>
      </c>
      <c r="H108" s="18" t="s">
        <v>872</v>
      </c>
      <c r="I108" s="18"/>
      <c r="J108" s="16" t="s">
        <v>51</v>
      </c>
      <c r="K108" s="18" t="s">
        <v>631</v>
      </c>
    </row>
    <row r="109" spans="1:11" ht="69.75" customHeight="1">
      <c r="A109" s="17" t="s">
        <v>937</v>
      </c>
      <c r="B109" s="18" t="s">
        <v>612</v>
      </c>
      <c r="C109" s="18" t="s">
        <v>938</v>
      </c>
      <c r="D109" s="19" t="s">
        <v>44</v>
      </c>
      <c r="E109" s="17" t="s">
        <v>47</v>
      </c>
      <c r="F109" s="18" t="s">
        <v>939</v>
      </c>
      <c r="G109" s="18" t="s">
        <v>940</v>
      </c>
      <c r="H109" s="18" t="s">
        <v>877</v>
      </c>
      <c r="I109" s="18"/>
      <c r="J109" s="16" t="s">
        <v>51</v>
      </c>
      <c r="K109" s="18" t="s">
        <v>631</v>
      </c>
    </row>
    <row r="110" spans="1:11" ht="55.5" customHeight="1">
      <c r="A110" s="13" t="s">
        <v>941</v>
      </c>
      <c r="B110" s="14" t="s">
        <v>612</v>
      </c>
      <c r="C110" s="14" t="s">
        <v>942</v>
      </c>
      <c r="D110" s="15" t="s">
        <v>43</v>
      </c>
      <c r="E110" s="13" t="s">
        <v>46</v>
      </c>
      <c r="F110" s="14" t="s">
        <v>943</v>
      </c>
      <c r="G110" s="14" t="s">
        <v>944</v>
      </c>
      <c r="H110" s="14" t="s">
        <v>857</v>
      </c>
      <c r="I110" s="14"/>
      <c r="J110" s="16" t="s">
        <v>51</v>
      </c>
      <c r="K110" s="14"/>
    </row>
    <row r="111" spans="1:11" ht="42" customHeight="1">
      <c r="A111" s="17" t="s">
        <v>945</v>
      </c>
      <c r="B111" s="18" t="s">
        <v>612</v>
      </c>
      <c r="C111" s="18" t="s">
        <v>946</v>
      </c>
      <c r="D111" s="19" t="s">
        <v>44</v>
      </c>
      <c r="E111" s="17" t="s">
        <v>46</v>
      </c>
      <c r="F111" s="18" t="s">
        <v>947</v>
      </c>
      <c r="G111" s="18" t="s">
        <v>948</v>
      </c>
      <c r="H111" s="18" t="s">
        <v>949</v>
      </c>
      <c r="I111" s="18"/>
      <c r="J111" s="16" t="s">
        <v>51</v>
      </c>
      <c r="K111" s="18"/>
    </row>
    <row r="112" spans="1:11" ht="42" customHeight="1">
      <c r="A112" s="17" t="s">
        <v>950</v>
      </c>
      <c r="B112" s="18" t="s">
        <v>612</v>
      </c>
      <c r="C112" s="18" t="s">
        <v>951</v>
      </c>
      <c r="D112" s="19" t="s">
        <v>44</v>
      </c>
      <c r="E112" s="17" t="s">
        <v>46</v>
      </c>
      <c r="F112" s="18" t="s">
        <v>952</v>
      </c>
      <c r="G112" s="18" t="s">
        <v>953</v>
      </c>
      <c r="H112" s="18" t="s">
        <v>867</v>
      </c>
      <c r="I112" s="18"/>
      <c r="J112" s="16" t="s">
        <v>51</v>
      </c>
      <c r="K112" s="18" t="s">
        <v>631</v>
      </c>
    </row>
    <row r="113" spans="1:11" ht="69.75" customHeight="1">
      <c r="A113" s="17" t="s">
        <v>954</v>
      </c>
      <c r="B113" s="18" t="s">
        <v>612</v>
      </c>
      <c r="C113" s="18" t="s">
        <v>955</v>
      </c>
      <c r="D113" s="19" t="s">
        <v>44</v>
      </c>
      <c r="E113" s="17" t="s">
        <v>47</v>
      </c>
      <c r="F113" s="18" t="s">
        <v>956</v>
      </c>
      <c r="G113" s="18" t="s">
        <v>957</v>
      </c>
      <c r="H113" s="18" t="s">
        <v>872</v>
      </c>
      <c r="I113" s="18"/>
      <c r="J113" s="16" t="s">
        <v>51</v>
      </c>
      <c r="K113" s="18" t="s">
        <v>631</v>
      </c>
    </row>
    <row r="114" spans="1:11" ht="84" customHeight="1">
      <c r="A114" s="17" t="s">
        <v>958</v>
      </c>
      <c r="B114" s="18" t="s">
        <v>612</v>
      </c>
      <c r="C114" s="18" t="s">
        <v>959</v>
      </c>
      <c r="D114" s="19" t="s">
        <v>44</v>
      </c>
      <c r="E114" s="17" t="s">
        <v>47</v>
      </c>
      <c r="F114" s="18" t="s">
        <v>960</v>
      </c>
      <c r="G114" s="18" t="s">
        <v>961</v>
      </c>
      <c r="H114" s="18" t="s">
        <v>877</v>
      </c>
      <c r="I114" s="18"/>
      <c r="J114" s="16" t="s">
        <v>51</v>
      </c>
      <c r="K114" s="18" t="s">
        <v>631</v>
      </c>
    </row>
    <row r="115" spans="1:11" ht="69.75" customHeight="1">
      <c r="A115" s="13" t="s">
        <v>962</v>
      </c>
      <c r="B115" s="14" t="s">
        <v>612</v>
      </c>
      <c r="C115" s="14" t="s">
        <v>963</v>
      </c>
      <c r="D115" s="15" t="s">
        <v>43</v>
      </c>
      <c r="E115" s="13" t="s">
        <v>45</v>
      </c>
      <c r="F115" s="14" t="s">
        <v>964</v>
      </c>
      <c r="G115" s="14" t="s">
        <v>965</v>
      </c>
      <c r="H115" s="14" t="s">
        <v>966</v>
      </c>
      <c r="I115" s="14"/>
      <c r="J115" s="16" t="s">
        <v>51</v>
      </c>
      <c r="K115" s="14"/>
    </row>
    <row r="116" spans="1:11" ht="27.75" customHeight="1">
      <c r="A116" s="17" t="s">
        <v>967</v>
      </c>
      <c r="B116" s="18" t="s">
        <v>612</v>
      </c>
      <c r="C116" s="18" t="s">
        <v>968</v>
      </c>
      <c r="D116" s="19" t="s">
        <v>44</v>
      </c>
      <c r="E116" s="17" t="s">
        <v>45</v>
      </c>
      <c r="F116" s="18" t="s">
        <v>969</v>
      </c>
      <c r="G116" s="18" t="s">
        <v>970</v>
      </c>
      <c r="H116" s="18" t="s">
        <v>971</v>
      </c>
      <c r="I116" s="18"/>
      <c r="J116" s="16" t="s">
        <v>51</v>
      </c>
      <c r="K116" s="18"/>
    </row>
    <row r="117" spans="1:11" ht="55.5" customHeight="1">
      <c r="A117" s="17" t="s">
        <v>972</v>
      </c>
      <c r="B117" s="18" t="s">
        <v>612</v>
      </c>
      <c r="C117" s="18" t="s">
        <v>973</v>
      </c>
      <c r="D117" s="19" t="s">
        <v>44</v>
      </c>
      <c r="E117" s="17" t="s">
        <v>45</v>
      </c>
      <c r="F117" s="18" t="s">
        <v>974</v>
      </c>
      <c r="G117" s="18" t="s">
        <v>975</v>
      </c>
      <c r="H117" s="18" t="s">
        <v>976</v>
      </c>
      <c r="I117" s="18"/>
      <c r="J117" s="16" t="s">
        <v>51</v>
      </c>
      <c r="K117" s="18"/>
    </row>
    <row r="118" spans="1:11" ht="42" customHeight="1">
      <c r="A118" s="17" t="s">
        <v>977</v>
      </c>
      <c r="B118" s="18" t="s">
        <v>612</v>
      </c>
      <c r="C118" s="18" t="s">
        <v>978</v>
      </c>
      <c r="D118" s="19" t="s">
        <v>44</v>
      </c>
      <c r="E118" s="17" t="s">
        <v>46</v>
      </c>
      <c r="F118" s="18" t="s">
        <v>979</v>
      </c>
      <c r="G118" s="18" t="s">
        <v>980</v>
      </c>
      <c r="H118" s="18" t="s">
        <v>981</v>
      </c>
      <c r="I118" s="18"/>
      <c r="J118" s="16" t="s">
        <v>51</v>
      </c>
      <c r="K118" s="18"/>
    </row>
    <row r="119" spans="1:11" ht="27.75" customHeight="1">
      <c r="A119" s="17" t="s">
        <v>982</v>
      </c>
      <c r="B119" s="18" t="s">
        <v>612</v>
      </c>
      <c r="C119" s="18" t="s">
        <v>983</v>
      </c>
      <c r="D119" s="19" t="s">
        <v>44</v>
      </c>
      <c r="E119" s="17" t="s">
        <v>46</v>
      </c>
      <c r="F119" s="18" t="s">
        <v>984</v>
      </c>
      <c r="G119" s="18" t="s">
        <v>985</v>
      </c>
      <c r="H119" s="18" t="s">
        <v>986</v>
      </c>
      <c r="I119" s="18"/>
      <c r="J119" s="16" t="s">
        <v>51</v>
      </c>
      <c r="K119" s="18"/>
    </row>
    <row r="120" spans="1:11" ht="42" customHeight="1">
      <c r="A120" s="17" t="s">
        <v>987</v>
      </c>
      <c r="B120" s="18" t="s">
        <v>612</v>
      </c>
      <c r="C120" s="18" t="s">
        <v>988</v>
      </c>
      <c r="D120" s="19" t="s">
        <v>44</v>
      </c>
      <c r="E120" s="17" t="s">
        <v>46</v>
      </c>
      <c r="F120" s="18" t="s">
        <v>989</v>
      </c>
      <c r="G120" s="18" t="s">
        <v>990</v>
      </c>
      <c r="H120" s="18" t="s">
        <v>991</v>
      </c>
      <c r="I120" s="18"/>
      <c r="J120" s="16" t="s">
        <v>51</v>
      </c>
      <c r="K120" s="18"/>
    </row>
    <row r="121" spans="1:11" ht="19.5" customHeight="1">
      <c r="A121" s="22" t="s">
        <v>4864</v>
      </c>
      <c r="B121" s="23"/>
      <c r="C121" s="23"/>
      <c r="D121" s="23"/>
      <c r="E121" s="23"/>
      <c r="F121" s="23"/>
      <c r="G121" s="23"/>
      <c r="H121" s="23"/>
      <c r="I121" s="23"/>
      <c r="J121" s="23"/>
      <c r="K121" s="23"/>
    </row>
    <row r="122" spans="1:11" ht="84" customHeight="1">
      <c r="A122" s="13" t="s">
        <v>992</v>
      </c>
      <c r="B122" s="14" t="s">
        <v>993</v>
      </c>
      <c r="C122" s="14" t="s">
        <v>994</v>
      </c>
      <c r="D122" s="15" t="s">
        <v>43</v>
      </c>
      <c r="E122" s="13" t="s">
        <v>45</v>
      </c>
      <c r="F122" s="14" t="s">
        <v>995</v>
      </c>
      <c r="G122" s="14" t="s">
        <v>996</v>
      </c>
      <c r="H122" s="14" t="s">
        <v>966</v>
      </c>
      <c r="I122" s="14"/>
      <c r="J122" s="16" t="s">
        <v>51</v>
      </c>
      <c r="K122" s="14"/>
    </row>
    <row r="123" spans="1:11" ht="27.75" customHeight="1">
      <c r="A123" s="17" t="s">
        <v>997</v>
      </c>
      <c r="B123" s="18" t="s">
        <v>993</v>
      </c>
      <c r="C123" s="18" t="s">
        <v>998</v>
      </c>
      <c r="D123" s="19" t="s">
        <v>44</v>
      </c>
      <c r="E123" s="17" t="s">
        <v>45</v>
      </c>
      <c r="F123" s="18" t="s">
        <v>999</v>
      </c>
      <c r="G123" s="18" t="s">
        <v>1000</v>
      </c>
      <c r="H123" s="18" t="s">
        <v>1001</v>
      </c>
      <c r="I123" s="18"/>
      <c r="J123" s="16" t="s">
        <v>51</v>
      </c>
      <c r="K123" s="18"/>
    </row>
    <row r="124" spans="1:11" ht="55.5" customHeight="1">
      <c r="A124" s="17" t="s">
        <v>1002</v>
      </c>
      <c r="B124" s="18" t="s">
        <v>993</v>
      </c>
      <c r="C124" s="18" t="s">
        <v>1003</v>
      </c>
      <c r="D124" s="19" t="s">
        <v>44</v>
      </c>
      <c r="E124" s="17" t="s">
        <v>45</v>
      </c>
      <c r="F124" s="18" t="s">
        <v>1004</v>
      </c>
      <c r="G124" s="18" t="s">
        <v>1005</v>
      </c>
      <c r="H124" s="18" t="s">
        <v>976</v>
      </c>
      <c r="I124" s="18"/>
      <c r="J124" s="16" t="s">
        <v>51</v>
      </c>
      <c r="K124" s="18"/>
    </row>
    <row r="125" spans="1:11" ht="55.5" customHeight="1">
      <c r="A125" s="17" t="s">
        <v>1006</v>
      </c>
      <c r="B125" s="18" t="s">
        <v>993</v>
      </c>
      <c r="C125" s="18" t="s">
        <v>1007</v>
      </c>
      <c r="D125" s="19" t="s">
        <v>44</v>
      </c>
      <c r="E125" s="17" t="s">
        <v>46</v>
      </c>
      <c r="F125" s="18" t="s">
        <v>1008</v>
      </c>
      <c r="G125" s="18" t="s">
        <v>980</v>
      </c>
      <c r="H125" s="18" t="s">
        <v>1009</v>
      </c>
      <c r="I125" s="18"/>
      <c r="J125" s="16" t="s">
        <v>51</v>
      </c>
      <c r="K125" s="18"/>
    </row>
    <row r="126" spans="1:11" ht="42" customHeight="1">
      <c r="A126" s="17" t="s">
        <v>1010</v>
      </c>
      <c r="B126" s="18" t="s">
        <v>993</v>
      </c>
      <c r="C126" s="18" t="s">
        <v>1011</v>
      </c>
      <c r="D126" s="19" t="s">
        <v>44</v>
      </c>
      <c r="E126" s="17" t="s">
        <v>46</v>
      </c>
      <c r="F126" s="18" t="s">
        <v>1012</v>
      </c>
      <c r="G126" s="18" t="s">
        <v>1013</v>
      </c>
      <c r="H126" s="18" t="s">
        <v>986</v>
      </c>
      <c r="I126" s="18"/>
      <c r="J126" s="16" t="s">
        <v>51</v>
      </c>
      <c r="K126" s="18"/>
    </row>
    <row r="127" spans="1:11" ht="42" customHeight="1">
      <c r="A127" s="17" t="s">
        <v>1014</v>
      </c>
      <c r="B127" s="18" t="s">
        <v>993</v>
      </c>
      <c r="C127" s="18" t="s">
        <v>1015</v>
      </c>
      <c r="D127" s="19" t="s">
        <v>44</v>
      </c>
      <c r="E127" s="17" t="s">
        <v>46</v>
      </c>
      <c r="F127" s="18" t="s">
        <v>1016</v>
      </c>
      <c r="G127" s="18" t="s">
        <v>1017</v>
      </c>
      <c r="H127" s="18" t="s">
        <v>991</v>
      </c>
      <c r="I127" s="18"/>
      <c r="J127" s="16" t="s">
        <v>51</v>
      </c>
      <c r="K127" s="18"/>
    </row>
    <row r="128" spans="1:11" ht="42" customHeight="1">
      <c r="A128" s="13" t="s">
        <v>1018</v>
      </c>
      <c r="B128" s="14" t="s">
        <v>993</v>
      </c>
      <c r="C128" s="14" t="s">
        <v>1019</v>
      </c>
      <c r="D128" s="15" t="s">
        <v>43</v>
      </c>
      <c r="E128" s="13" t="s">
        <v>45</v>
      </c>
      <c r="F128" s="14" t="s">
        <v>1020</v>
      </c>
      <c r="G128" s="14" t="s">
        <v>1021</v>
      </c>
      <c r="H128" s="14" t="s">
        <v>1022</v>
      </c>
      <c r="I128" s="14"/>
      <c r="J128" s="16" t="s">
        <v>51</v>
      </c>
      <c r="K128" s="14"/>
    </row>
    <row r="129" spans="1:11" ht="69.75" customHeight="1">
      <c r="A129" s="17" t="s">
        <v>1023</v>
      </c>
      <c r="B129" s="18" t="s">
        <v>993</v>
      </c>
      <c r="C129" s="18" t="s">
        <v>1024</v>
      </c>
      <c r="D129" s="19" t="s">
        <v>44</v>
      </c>
      <c r="E129" s="17" t="s">
        <v>45</v>
      </c>
      <c r="F129" s="18" t="s">
        <v>1025</v>
      </c>
      <c r="G129" s="18" t="s">
        <v>1026</v>
      </c>
      <c r="H129" s="18" t="s">
        <v>1027</v>
      </c>
      <c r="I129" s="18"/>
      <c r="J129" s="16" t="s">
        <v>51</v>
      </c>
      <c r="K129" s="18" t="s">
        <v>1028</v>
      </c>
    </row>
    <row r="130" spans="1:11" ht="42" customHeight="1">
      <c r="A130" s="17" t="s">
        <v>1029</v>
      </c>
      <c r="B130" s="18" t="s">
        <v>993</v>
      </c>
      <c r="C130" s="18" t="s">
        <v>1030</v>
      </c>
      <c r="D130" s="19" t="s">
        <v>44</v>
      </c>
      <c r="E130" s="17" t="s">
        <v>45</v>
      </c>
      <c r="F130" s="18" t="s">
        <v>1031</v>
      </c>
      <c r="G130" s="18" t="s">
        <v>1032</v>
      </c>
      <c r="H130" s="18" t="s">
        <v>1033</v>
      </c>
      <c r="I130" s="18"/>
      <c r="J130" s="16" t="s">
        <v>51</v>
      </c>
      <c r="K130" s="18"/>
    </row>
    <row r="131" spans="1:11" ht="19.5" customHeight="1">
      <c r="A131" s="22" t="s">
        <v>4865</v>
      </c>
      <c r="B131" s="23"/>
      <c r="C131" s="23"/>
      <c r="D131" s="23"/>
      <c r="E131" s="23"/>
      <c r="F131" s="23"/>
      <c r="G131" s="23"/>
      <c r="H131" s="23"/>
      <c r="I131" s="23"/>
      <c r="J131" s="23"/>
      <c r="K131" s="23"/>
    </row>
    <row r="132" spans="1:11" ht="84" customHeight="1">
      <c r="A132" s="13" t="s">
        <v>1034</v>
      </c>
      <c r="B132" s="14" t="s">
        <v>1035</v>
      </c>
      <c r="C132" s="14" t="s">
        <v>1036</v>
      </c>
      <c r="D132" s="15" t="s">
        <v>43</v>
      </c>
      <c r="E132" s="13" t="s">
        <v>45</v>
      </c>
      <c r="F132" s="14" t="s">
        <v>1037</v>
      </c>
      <c r="G132" s="14" t="s">
        <v>1038</v>
      </c>
      <c r="H132" s="14" t="s">
        <v>966</v>
      </c>
      <c r="I132" s="14"/>
      <c r="J132" s="16" t="s">
        <v>51</v>
      </c>
      <c r="K132" s="14" t="s">
        <v>631</v>
      </c>
    </row>
    <row r="133" spans="1:11" ht="42" customHeight="1">
      <c r="A133" s="17" t="s">
        <v>1039</v>
      </c>
      <c r="B133" s="18" t="s">
        <v>1035</v>
      </c>
      <c r="C133" s="18" t="s">
        <v>1040</v>
      </c>
      <c r="D133" s="19" t="s">
        <v>44</v>
      </c>
      <c r="E133" s="17" t="s">
        <v>45</v>
      </c>
      <c r="F133" s="18" t="s">
        <v>1041</v>
      </c>
      <c r="G133" s="18" t="s">
        <v>1042</v>
      </c>
      <c r="H133" s="18" t="s">
        <v>1043</v>
      </c>
      <c r="I133" s="18"/>
      <c r="J133" s="16" t="s">
        <v>51</v>
      </c>
      <c r="K133" s="18"/>
    </row>
    <row r="134" spans="1:11" ht="55.5" customHeight="1">
      <c r="A134" s="17" t="s">
        <v>1044</v>
      </c>
      <c r="B134" s="18" t="s">
        <v>1035</v>
      </c>
      <c r="C134" s="18" t="s">
        <v>1045</v>
      </c>
      <c r="D134" s="19" t="s">
        <v>44</v>
      </c>
      <c r="E134" s="17" t="s">
        <v>45</v>
      </c>
      <c r="F134" s="18" t="s">
        <v>1046</v>
      </c>
      <c r="G134" s="18" t="s">
        <v>1005</v>
      </c>
      <c r="H134" s="18" t="s">
        <v>976</v>
      </c>
      <c r="I134" s="18"/>
      <c r="J134" s="16" t="s">
        <v>51</v>
      </c>
      <c r="K134" s="18"/>
    </row>
    <row r="135" spans="1:11" ht="55.5" customHeight="1">
      <c r="A135" s="17" t="s">
        <v>1047</v>
      </c>
      <c r="B135" s="18" t="s">
        <v>1035</v>
      </c>
      <c r="C135" s="18" t="s">
        <v>1048</v>
      </c>
      <c r="D135" s="19" t="s">
        <v>44</v>
      </c>
      <c r="E135" s="17" t="s">
        <v>46</v>
      </c>
      <c r="F135" s="18" t="s">
        <v>1049</v>
      </c>
      <c r="G135" s="18" t="s">
        <v>980</v>
      </c>
      <c r="H135" s="18" t="s">
        <v>1009</v>
      </c>
      <c r="I135" s="18"/>
      <c r="J135" s="16" t="s">
        <v>51</v>
      </c>
      <c r="K135" s="18"/>
    </row>
    <row r="136" spans="1:11" ht="42" customHeight="1">
      <c r="A136" s="17" t="s">
        <v>1050</v>
      </c>
      <c r="B136" s="18" t="s">
        <v>1035</v>
      </c>
      <c r="C136" s="18" t="s">
        <v>1051</v>
      </c>
      <c r="D136" s="19" t="s">
        <v>44</v>
      </c>
      <c r="E136" s="17" t="s">
        <v>46</v>
      </c>
      <c r="F136" s="18" t="s">
        <v>1052</v>
      </c>
      <c r="G136" s="18" t="s">
        <v>1053</v>
      </c>
      <c r="H136" s="18" t="s">
        <v>986</v>
      </c>
      <c r="I136" s="18"/>
      <c r="J136" s="16" t="s">
        <v>51</v>
      </c>
      <c r="K136" s="18"/>
    </row>
    <row r="137" spans="1:11" ht="55.5" customHeight="1">
      <c r="A137" s="17" t="s">
        <v>1054</v>
      </c>
      <c r="B137" s="18" t="s">
        <v>1035</v>
      </c>
      <c r="C137" s="18" t="s">
        <v>1055</v>
      </c>
      <c r="D137" s="19" t="s">
        <v>44</v>
      </c>
      <c r="E137" s="17" t="s">
        <v>46</v>
      </c>
      <c r="F137" s="18" t="s">
        <v>1056</v>
      </c>
      <c r="G137" s="18" t="s">
        <v>1057</v>
      </c>
      <c r="H137" s="18" t="s">
        <v>991</v>
      </c>
      <c r="I137" s="18"/>
      <c r="J137" s="16" t="s">
        <v>51</v>
      </c>
      <c r="K137" s="18"/>
    </row>
    <row r="138" spans="1:11" ht="19.5" customHeight="1">
      <c r="A138" s="22" t="s">
        <v>4866</v>
      </c>
      <c r="B138" s="23"/>
      <c r="C138" s="23"/>
      <c r="D138" s="23"/>
      <c r="E138" s="23"/>
      <c r="F138" s="23"/>
      <c r="G138" s="23"/>
      <c r="H138" s="23"/>
      <c r="I138" s="23"/>
      <c r="J138" s="23"/>
      <c r="K138" s="23"/>
    </row>
    <row r="139" spans="1:11" ht="55.5" customHeight="1">
      <c r="A139" s="13" t="s">
        <v>1058</v>
      </c>
      <c r="B139" s="14" t="s">
        <v>1059</v>
      </c>
      <c r="C139" s="14" t="s">
        <v>1060</v>
      </c>
      <c r="D139" s="15" t="s">
        <v>43</v>
      </c>
      <c r="E139" s="13" t="s">
        <v>46</v>
      </c>
      <c r="F139" s="14" t="s">
        <v>1061</v>
      </c>
      <c r="G139" s="14" t="s">
        <v>1062</v>
      </c>
      <c r="H139" s="14" t="s">
        <v>1063</v>
      </c>
      <c r="I139" s="14"/>
      <c r="J139" s="16" t="s">
        <v>51</v>
      </c>
      <c r="K139" s="14"/>
    </row>
    <row r="140" spans="1:11" ht="42" customHeight="1">
      <c r="A140" s="17" t="s">
        <v>1064</v>
      </c>
      <c r="B140" s="18" t="s">
        <v>1059</v>
      </c>
      <c r="C140" s="18" t="s">
        <v>1065</v>
      </c>
      <c r="D140" s="19" t="s">
        <v>44</v>
      </c>
      <c r="E140" s="17" t="s">
        <v>46</v>
      </c>
      <c r="F140" s="18" t="s">
        <v>1066</v>
      </c>
      <c r="G140" s="18" t="s">
        <v>1067</v>
      </c>
      <c r="H140" s="18" t="s">
        <v>1068</v>
      </c>
      <c r="I140" s="18"/>
      <c r="J140" s="16" t="s">
        <v>51</v>
      </c>
      <c r="K140" s="18"/>
    </row>
    <row r="141" spans="1:11" ht="42" customHeight="1">
      <c r="A141" s="17" t="s">
        <v>1069</v>
      </c>
      <c r="B141" s="18" t="s">
        <v>1059</v>
      </c>
      <c r="C141" s="18" t="s">
        <v>1070</v>
      </c>
      <c r="D141" s="19" t="s">
        <v>44</v>
      </c>
      <c r="E141" s="17" t="s">
        <v>46</v>
      </c>
      <c r="F141" s="18" t="s">
        <v>1071</v>
      </c>
      <c r="G141" s="18" t="s">
        <v>1072</v>
      </c>
      <c r="H141" s="18" t="s">
        <v>156</v>
      </c>
      <c r="I141" s="18"/>
      <c r="J141" s="16" t="s">
        <v>51</v>
      </c>
      <c r="K141" s="18"/>
    </row>
    <row r="142" spans="1:11" ht="42" customHeight="1">
      <c r="A142" s="17" t="s">
        <v>1073</v>
      </c>
      <c r="B142" s="18" t="s">
        <v>1059</v>
      </c>
      <c r="C142" s="18" t="s">
        <v>1074</v>
      </c>
      <c r="D142" s="19" t="s">
        <v>44</v>
      </c>
      <c r="E142" s="17" t="s">
        <v>47</v>
      </c>
      <c r="F142" s="18" t="s">
        <v>1075</v>
      </c>
      <c r="G142" s="18" t="s">
        <v>1076</v>
      </c>
      <c r="H142" s="18" t="s">
        <v>630</v>
      </c>
      <c r="I142" s="18"/>
      <c r="J142" s="16" t="s">
        <v>51</v>
      </c>
      <c r="K142" s="18" t="s">
        <v>631</v>
      </c>
    </row>
    <row r="143" spans="1:11" ht="55.5" customHeight="1">
      <c r="A143" s="13" t="s">
        <v>1077</v>
      </c>
      <c r="B143" s="14" t="s">
        <v>1059</v>
      </c>
      <c r="C143" s="14" t="s">
        <v>1078</v>
      </c>
      <c r="D143" s="15" t="s">
        <v>43</v>
      </c>
      <c r="E143" s="13" t="s">
        <v>46</v>
      </c>
      <c r="F143" s="14" t="s">
        <v>1079</v>
      </c>
      <c r="G143" s="14" t="s">
        <v>1080</v>
      </c>
      <c r="H143" s="14" t="s">
        <v>758</v>
      </c>
      <c r="I143" s="14"/>
      <c r="J143" s="16" t="s">
        <v>51</v>
      </c>
      <c r="K143" s="14"/>
    </row>
    <row r="144" spans="1:11" ht="27.75" customHeight="1">
      <c r="A144" s="17" t="s">
        <v>1081</v>
      </c>
      <c r="B144" s="18" t="s">
        <v>1059</v>
      </c>
      <c r="C144" s="18" t="s">
        <v>1082</v>
      </c>
      <c r="D144" s="19" t="s">
        <v>44</v>
      </c>
      <c r="E144" s="17" t="s">
        <v>46</v>
      </c>
      <c r="F144" s="18" t="s">
        <v>1083</v>
      </c>
      <c r="G144" s="18" t="s">
        <v>1084</v>
      </c>
      <c r="H144" s="18" t="s">
        <v>1085</v>
      </c>
      <c r="I144" s="18"/>
      <c r="J144" s="16" t="s">
        <v>51</v>
      </c>
      <c r="K144" s="18"/>
    </row>
    <row r="145" spans="1:11" ht="42" customHeight="1">
      <c r="A145" s="17" t="s">
        <v>1086</v>
      </c>
      <c r="B145" s="18" t="s">
        <v>1059</v>
      </c>
      <c r="C145" s="18" t="s">
        <v>1087</v>
      </c>
      <c r="D145" s="19" t="s">
        <v>44</v>
      </c>
      <c r="E145" s="17" t="s">
        <v>46</v>
      </c>
      <c r="F145" s="18" t="s">
        <v>1088</v>
      </c>
      <c r="G145" s="18" t="s">
        <v>1089</v>
      </c>
      <c r="H145" s="18" t="s">
        <v>1090</v>
      </c>
      <c r="I145" s="18"/>
      <c r="J145" s="16" t="s">
        <v>51</v>
      </c>
      <c r="K145" s="18" t="s">
        <v>631</v>
      </c>
    </row>
    <row r="146" spans="1:11" ht="55.5" customHeight="1">
      <c r="A146" s="17" t="s">
        <v>1091</v>
      </c>
      <c r="B146" s="18" t="s">
        <v>1059</v>
      </c>
      <c r="C146" s="18" t="s">
        <v>1092</v>
      </c>
      <c r="D146" s="19" t="s">
        <v>44</v>
      </c>
      <c r="E146" s="17" t="s">
        <v>47</v>
      </c>
      <c r="F146" s="18" t="s">
        <v>1093</v>
      </c>
      <c r="G146" s="18" t="s">
        <v>1094</v>
      </c>
      <c r="H146" s="18" t="s">
        <v>1095</v>
      </c>
      <c r="I146" s="18"/>
      <c r="J146" s="16" t="s">
        <v>51</v>
      </c>
      <c r="K146" s="18" t="s">
        <v>631</v>
      </c>
    </row>
    <row r="147" spans="1:11" ht="42" customHeight="1">
      <c r="A147" s="13" t="s">
        <v>1096</v>
      </c>
      <c r="B147" s="14" t="s">
        <v>1059</v>
      </c>
      <c r="C147" s="14" t="s">
        <v>1097</v>
      </c>
      <c r="D147" s="15" t="s">
        <v>43</v>
      </c>
      <c r="E147" s="13" t="s">
        <v>46</v>
      </c>
      <c r="F147" s="14" t="s">
        <v>1098</v>
      </c>
      <c r="G147" s="14" t="s">
        <v>1099</v>
      </c>
      <c r="H147" s="14" t="s">
        <v>743</v>
      </c>
      <c r="I147" s="14"/>
      <c r="J147" s="16" t="s">
        <v>51</v>
      </c>
      <c r="K147" s="14"/>
    </row>
    <row r="148" spans="1:11" ht="42" customHeight="1">
      <c r="A148" s="17" t="s">
        <v>1100</v>
      </c>
      <c r="B148" s="18" t="s">
        <v>1059</v>
      </c>
      <c r="C148" s="18" t="s">
        <v>1101</v>
      </c>
      <c r="D148" s="19" t="s">
        <v>44</v>
      </c>
      <c r="E148" s="17" t="s">
        <v>46</v>
      </c>
      <c r="F148" s="18" t="s">
        <v>1102</v>
      </c>
      <c r="G148" s="18" t="s">
        <v>1103</v>
      </c>
      <c r="H148" s="18" t="s">
        <v>1104</v>
      </c>
      <c r="I148" s="18"/>
      <c r="J148" s="16" t="s">
        <v>51</v>
      </c>
      <c r="K148" s="18"/>
    </row>
    <row r="149" spans="1:11" ht="42" customHeight="1">
      <c r="A149" s="13" t="s">
        <v>1105</v>
      </c>
      <c r="B149" s="14" t="s">
        <v>1059</v>
      </c>
      <c r="C149" s="14" t="s">
        <v>1106</v>
      </c>
      <c r="D149" s="15" t="s">
        <v>43</v>
      </c>
      <c r="E149" s="13" t="s">
        <v>47</v>
      </c>
      <c r="F149" s="14" t="s">
        <v>1107</v>
      </c>
      <c r="G149" s="14" t="s">
        <v>1108</v>
      </c>
      <c r="H149" s="14" t="s">
        <v>753</v>
      </c>
      <c r="I149" s="14"/>
      <c r="J149" s="16" t="s">
        <v>51</v>
      </c>
      <c r="K149" s="14" t="s">
        <v>631</v>
      </c>
    </row>
    <row r="150" spans="1:11" ht="42" customHeight="1">
      <c r="A150" s="13" t="s">
        <v>1109</v>
      </c>
      <c r="B150" s="14" t="s">
        <v>1059</v>
      </c>
      <c r="C150" s="14" t="s">
        <v>1110</v>
      </c>
      <c r="D150" s="15" t="s">
        <v>43</v>
      </c>
      <c r="E150" s="13" t="s">
        <v>46</v>
      </c>
      <c r="F150" s="14" t="s">
        <v>1111</v>
      </c>
      <c r="G150" s="14" t="s">
        <v>1112</v>
      </c>
      <c r="H150" s="14" t="s">
        <v>743</v>
      </c>
      <c r="I150" s="14"/>
      <c r="J150" s="16" t="s">
        <v>51</v>
      </c>
      <c r="K150" s="14"/>
    </row>
    <row r="151" spans="1:11" ht="42" customHeight="1">
      <c r="A151" s="17" t="s">
        <v>1113</v>
      </c>
      <c r="B151" s="18" t="s">
        <v>1059</v>
      </c>
      <c r="C151" s="18" t="s">
        <v>1114</v>
      </c>
      <c r="D151" s="19" t="s">
        <v>44</v>
      </c>
      <c r="E151" s="17" t="s">
        <v>46</v>
      </c>
      <c r="F151" s="18" t="s">
        <v>1115</v>
      </c>
      <c r="G151" s="18" t="s">
        <v>1116</v>
      </c>
      <c r="H151" s="18" t="s">
        <v>1117</v>
      </c>
      <c r="I151" s="18"/>
      <c r="J151" s="16" t="s">
        <v>51</v>
      </c>
      <c r="K151" s="18"/>
    </row>
    <row r="152" spans="1:11" ht="42" customHeight="1">
      <c r="A152" s="13" t="s">
        <v>1118</v>
      </c>
      <c r="B152" s="14" t="s">
        <v>1059</v>
      </c>
      <c r="C152" s="14" t="s">
        <v>1119</v>
      </c>
      <c r="D152" s="15" t="s">
        <v>43</v>
      </c>
      <c r="E152" s="13" t="s">
        <v>47</v>
      </c>
      <c r="F152" s="14" t="s">
        <v>1120</v>
      </c>
      <c r="G152" s="14" t="s">
        <v>1121</v>
      </c>
      <c r="H152" s="14" t="s">
        <v>753</v>
      </c>
      <c r="I152" s="14"/>
      <c r="J152" s="16" t="s">
        <v>51</v>
      </c>
      <c r="K152" s="14" t="s">
        <v>631</v>
      </c>
    </row>
    <row r="153" spans="1:11" ht="55.5" customHeight="1">
      <c r="A153" s="13" t="s">
        <v>1122</v>
      </c>
      <c r="B153" s="14" t="s">
        <v>1059</v>
      </c>
      <c r="C153" s="14" t="s">
        <v>1123</v>
      </c>
      <c r="D153" s="15" t="s">
        <v>43</v>
      </c>
      <c r="E153" s="13" t="s">
        <v>46</v>
      </c>
      <c r="F153" s="14" t="s">
        <v>1124</v>
      </c>
      <c r="G153" s="14" t="s">
        <v>1125</v>
      </c>
      <c r="H153" s="14" t="s">
        <v>1126</v>
      </c>
      <c r="I153" s="14"/>
      <c r="J153" s="16" t="s">
        <v>51</v>
      </c>
      <c r="K153" s="14"/>
    </row>
    <row r="154" spans="1:11" ht="27.75" customHeight="1">
      <c r="A154" s="17" t="s">
        <v>1127</v>
      </c>
      <c r="B154" s="18" t="s">
        <v>1059</v>
      </c>
      <c r="C154" s="18" t="s">
        <v>1128</v>
      </c>
      <c r="D154" s="19" t="s">
        <v>44</v>
      </c>
      <c r="E154" s="17" t="s">
        <v>46</v>
      </c>
      <c r="F154" s="18" t="s">
        <v>1129</v>
      </c>
      <c r="G154" s="18" t="s">
        <v>1130</v>
      </c>
      <c r="H154" s="18" t="s">
        <v>1131</v>
      </c>
      <c r="I154" s="18"/>
      <c r="J154" s="16" t="s">
        <v>51</v>
      </c>
      <c r="K154" s="18"/>
    </row>
    <row r="155" spans="1:11" ht="42" customHeight="1">
      <c r="A155" s="17" t="s">
        <v>1132</v>
      </c>
      <c r="B155" s="18" t="s">
        <v>1059</v>
      </c>
      <c r="C155" s="18" t="s">
        <v>1133</v>
      </c>
      <c r="D155" s="19" t="s">
        <v>44</v>
      </c>
      <c r="E155" s="17" t="s">
        <v>46</v>
      </c>
      <c r="F155" s="18" t="s">
        <v>1134</v>
      </c>
      <c r="G155" s="18" t="s">
        <v>1135</v>
      </c>
      <c r="H155" s="18" t="s">
        <v>829</v>
      </c>
      <c r="I155" s="18"/>
      <c r="J155" s="16" t="s">
        <v>51</v>
      </c>
      <c r="K155" s="18" t="s">
        <v>631</v>
      </c>
    </row>
    <row r="156" spans="1:11" ht="42" customHeight="1">
      <c r="A156" s="17" t="s">
        <v>1136</v>
      </c>
      <c r="B156" s="18" t="s">
        <v>1059</v>
      </c>
      <c r="C156" s="18" t="s">
        <v>1137</v>
      </c>
      <c r="D156" s="19" t="s">
        <v>44</v>
      </c>
      <c r="E156" s="17" t="s">
        <v>46</v>
      </c>
      <c r="F156" s="18" t="s">
        <v>1138</v>
      </c>
      <c r="G156" s="18" t="s">
        <v>1139</v>
      </c>
      <c r="H156" s="18" t="s">
        <v>834</v>
      </c>
      <c r="I156" s="18"/>
      <c r="J156" s="16" t="s">
        <v>51</v>
      </c>
      <c r="K156" s="18"/>
    </row>
    <row r="157" spans="1:11" ht="42" customHeight="1">
      <c r="A157" s="13" t="s">
        <v>1140</v>
      </c>
      <c r="B157" s="14" t="s">
        <v>1059</v>
      </c>
      <c r="C157" s="14" t="s">
        <v>1141</v>
      </c>
      <c r="D157" s="15" t="s">
        <v>43</v>
      </c>
      <c r="E157" s="13" t="s">
        <v>46</v>
      </c>
      <c r="F157" s="14" t="s">
        <v>1142</v>
      </c>
      <c r="G157" s="14" t="s">
        <v>1143</v>
      </c>
      <c r="H157" s="14" t="s">
        <v>743</v>
      </c>
      <c r="I157" s="14"/>
      <c r="J157" s="16" t="s">
        <v>51</v>
      </c>
      <c r="K157" s="14"/>
    </row>
    <row r="158" spans="1:11" ht="42" customHeight="1">
      <c r="A158" s="17" t="s">
        <v>1144</v>
      </c>
      <c r="B158" s="18" t="s">
        <v>1059</v>
      </c>
      <c r="C158" s="18" t="s">
        <v>1145</v>
      </c>
      <c r="D158" s="19" t="s">
        <v>44</v>
      </c>
      <c r="E158" s="17" t="s">
        <v>46</v>
      </c>
      <c r="F158" s="18" t="s">
        <v>1146</v>
      </c>
      <c r="G158" s="18" t="s">
        <v>1147</v>
      </c>
      <c r="H158" s="18" t="s">
        <v>1148</v>
      </c>
      <c r="I158" s="18"/>
      <c r="J158" s="16" t="s">
        <v>51</v>
      </c>
      <c r="K158" s="18"/>
    </row>
    <row r="159" spans="1:11" ht="42" customHeight="1">
      <c r="A159" s="13" t="s">
        <v>1149</v>
      </c>
      <c r="B159" s="14" t="s">
        <v>1059</v>
      </c>
      <c r="C159" s="14" t="s">
        <v>1150</v>
      </c>
      <c r="D159" s="15" t="s">
        <v>43</v>
      </c>
      <c r="E159" s="13" t="s">
        <v>47</v>
      </c>
      <c r="F159" s="14" t="s">
        <v>1151</v>
      </c>
      <c r="G159" s="14" t="s">
        <v>1152</v>
      </c>
      <c r="H159" s="14" t="s">
        <v>753</v>
      </c>
      <c r="I159" s="14"/>
      <c r="J159" s="16" t="s">
        <v>51</v>
      </c>
      <c r="K159" s="14" t="s">
        <v>631</v>
      </c>
    </row>
    <row r="160" spans="1:11" ht="69.75" customHeight="1">
      <c r="A160" s="13" t="s">
        <v>1153</v>
      </c>
      <c r="B160" s="14" t="s">
        <v>1059</v>
      </c>
      <c r="C160" s="14" t="s">
        <v>1154</v>
      </c>
      <c r="D160" s="15" t="s">
        <v>43</v>
      </c>
      <c r="E160" s="13" t="s">
        <v>46</v>
      </c>
      <c r="F160" s="14" t="s">
        <v>1155</v>
      </c>
      <c r="G160" s="14" t="s">
        <v>1156</v>
      </c>
      <c r="H160" s="14" t="s">
        <v>1157</v>
      </c>
      <c r="I160" s="14"/>
      <c r="J160" s="16" t="s">
        <v>51</v>
      </c>
      <c r="K160" s="14"/>
    </row>
    <row r="161" spans="1:11" ht="27.75" customHeight="1">
      <c r="A161" s="17" t="s">
        <v>1158</v>
      </c>
      <c r="B161" s="18" t="s">
        <v>1059</v>
      </c>
      <c r="C161" s="18" t="s">
        <v>1159</v>
      </c>
      <c r="D161" s="19" t="s">
        <v>44</v>
      </c>
      <c r="E161" s="17" t="s">
        <v>46</v>
      </c>
      <c r="F161" s="18" t="s">
        <v>1160</v>
      </c>
      <c r="G161" s="18" t="s">
        <v>1161</v>
      </c>
      <c r="H161" s="18" t="s">
        <v>1162</v>
      </c>
      <c r="I161" s="18"/>
      <c r="J161" s="16" t="s">
        <v>51</v>
      </c>
      <c r="K161" s="18"/>
    </row>
    <row r="162" spans="1:11" ht="42" customHeight="1">
      <c r="A162" s="17" t="s">
        <v>1163</v>
      </c>
      <c r="B162" s="18" t="s">
        <v>1059</v>
      </c>
      <c r="C162" s="18" t="s">
        <v>1164</v>
      </c>
      <c r="D162" s="19" t="s">
        <v>44</v>
      </c>
      <c r="E162" s="17" t="s">
        <v>46</v>
      </c>
      <c r="F162" s="18" t="s">
        <v>1165</v>
      </c>
      <c r="G162" s="18" t="s">
        <v>1166</v>
      </c>
      <c r="H162" s="18" t="s">
        <v>1167</v>
      </c>
      <c r="I162" s="18"/>
      <c r="J162" s="16" t="s">
        <v>51</v>
      </c>
      <c r="K162" s="18" t="s">
        <v>631</v>
      </c>
    </row>
    <row r="163" spans="1:11" ht="42" customHeight="1">
      <c r="A163" s="17" t="s">
        <v>1168</v>
      </c>
      <c r="B163" s="18" t="s">
        <v>1059</v>
      </c>
      <c r="C163" s="18" t="s">
        <v>1169</v>
      </c>
      <c r="D163" s="19" t="s">
        <v>44</v>
      </c>
      <c r="E163" s="17" t="s">
        <v>47</v>
      </c>
      <c r="F163" s="18" t="s">
        <v>1170</v>
      </c>
      <c r="G163" s="18" t="s">
        <v>1171</v>
      </c>
      <c r="H163" s="18" t="s">
        <v>651</v>
      </c>
      <c r="I163" s="18"/>
      <c r="J163" s="16" t="s">
        <v>51</v>
      </c>
      <c r="K163" s="18" t="s">
        <v>631</v>
      </c>
    </row>
    <row r="164" spans="1:11" ht="69.75" customHeight="1">
      <c r="A164" s="13" t="s">
        <v>1172</v>
      </c>
      <c r="B164" s="14" t="s">
        <v>1059</v>
      </c>
      <c r="C164" s="14" t="s">
        <v>1173</v>
      </c>
      <c r="D164" s="15" t="s">
        <v>43</v>
      </c>
      <c r="E164" s="13" t="s">
        <v>45</v>
      </c>
      <c r="F164" s="14" t="s">
        <v>1174</v>
      </c>
      <c r="G164" s="14" t="s">
        <v>1175</v>
      </c>
      <c r="H164" s="14" t="s">
        <v>966</v>
      </c>
      <c r="I164" s="14"/>
      <c r="J164" s="16" t="s">
        <v>51</v>
      </c>
      <c r="K164" s="14"/>
    </row>
    <row r="165" spans="1:11" ht="27.75" customHeight="1">
      <c r="A165" s="17" t="s">
        <v>1176</v>
      </c>
      <c r="B165" s="18" t="s">
        <v>1059</v>
      </c>
      <c r="C165" s="18" t="s">
        <v>1177</v>
      </c>
      <c r="D165" s="19" t="s">
        <v>44</v>
      </c>
      <c r="E165" s="17" t="s">
        <v>45</v>
      </c>
      <c r="F165" s="18" t="s">
        <v>1178</v>
      </c>
      <c r="G165" s="18" t="s">
        <v>1179</v>
      </c>
      <c r="H165" s="18" t="s">
        <v>1180</v>
      </c>
      <c r="I165" s="18"/>
      <c r="J165" s="16" t="s">
        <v>51</v>
      </c>
      <c r="K165" s="18"/>
    </row>
    <row r="166" spans="1:11" ht="55.5" customHeight="1">
      <c r="A166" s="17" t="s">
        <v>1181</v>
      </c>
      <c r="B166" s="18" t="s">
        <v>1059</v>
      </c>
      <c r="C166" s="18" t="s">
        <v>1182</v>
      </c>
      <c r="D166" s="19" t="s">
        <v>44</v>
      </c>
      <c r="E166" s="17" t="s">
        <v>45</v>
      </c>
      <c r="F166" s="18" t="s">
        <v>1183</v>
      </c>
      <c r="G166" s="18" t="s">
        <v>1005</v>
      </c>
      <c r="H166" s="18" t="s">
        <v>976</v>
      </c>
      <c r="I166" s="18"/>
      <c r="J166" s="16" t="s">
        <v>51</v>
      </c>
      <c r="K166" s="18"/>
    </row>
    <row r="167" spans="1:11" ht="42" customHeight="1">
      <c r="A167" s="17" t="s">
        <v>1184</v>
      </c>
      <c r="B167" s="18" t="s">
        <v>1059</v>
      </c>
      <c r="C167" s="18" t="s">
        <v>1185</v>
      </c>
      <c r="D167" s="19" t="s">
        <v>44</v>
      </c>
      <c r="E167" s="17" t="s">
        <v>46</v>
      </c>
      <c r="F167" s="18" t="s">
        <v>1186</v>
      </c>
      <c r="G167" s="18" t="s">
        <v>980</v>
      </c>
      <c r="H167" s="18" t="s">
        <v>1187</v>
      </c>
      <c r="I167" s="18"/>
      <c r="J167" s="16" t="s">
        <v>51</v>
      </c>
      <c r="K167" s="18"/>
    </row>
    <row r="168" spans="1:11" ht="27.75" customHeight="1">
      <c r="A168" s="17" t="s">
        <v>1188</v>
      </c>
      <c r="B168" s="18" t="s">
        <v>1059</v>
      </c>
      <c r="C168" s="18" t="s">
        <v>1189</v>
      </c>
      <c r="D168" s="19" t="s">
        <v>44</v>
      </c>
      <c r="E168" s="17" t="s">
        <v>46</v>
      </c>
      <c r="F168" s="18" t="s">
        <v>1190</v>
      </c>
      <c r="G168" s="18" t="s">
        <v>1191</v>
      </c>
      <c r="H168" s="18" t="s">
        <v>986</v>
      </c>
      <c r="I168" s="18"/>
      <c r="J168" s="16" t="s">
        <v>51</v>
      </c>
      <c r="K168" s="18"/>
    </row>
    <row r="169" spans="1:11" ht="42" customHeight="1">
      <c r="A169" s="17" t="s">
        <v>1192</v>
      </c>
      <c r="B169" s="18" t="s">
        <v>1059</v>
      </c>
      <c r="C169" s="18" t="s">
        <v>1193</v>
      </c>
      <c r="D169" s="19" t="s">
        <v>44</v>
      </c>
      <c r="E169" s="17" t="s">
        <v>46</v>
      </c>
      <c r="F169" s="18" t="s">
        <v>1194</v>
      </c>
      <c r="G169" s="18" t="s">
        <v>1195</v>
      </c>
      <c r="H169" s="18" t="s">
        <v>991</v>
      </c>
      <c r="I169" s="18"/>
      <c r="J169" s="16" t="s">
        <v>51</v>
      </c>
      <c r="K169" s="18"/>
    </row>
    <row r="170" spans="1:11" ht="69.75" customHeight="1">
      <c r="A170" s="13" t="s">
        <v>1196</v>
      </c>
      <c r="B170" s="14" t="s">
        <v>1059</v>
      </c>
      <c r="C170" s="14" t="s">
        <v>1197</v>
      </c>
      <c r="D170" s="15" t="s">
        <v>43</v>
      </c>
      <c r="E170" s="13" t="s">
        <v>45</v>
      </c>
      <c r="F170" s="14" t="s">
        <v>1198</v>
      </c>
      <c r="G170" s="14" t="s">
        <v>1199</v>
      </c>
      <c r="H170" s="14" t="s">
        <v>1200</v>
      </c>
      <c r="I170" s="14"/>
      <c r="J170" s="16" t="s">
        <v>51</v>
      </c>
      <c r="K170" s="14"/>
    </row>
    <row r="171" spans="1:11" ht="55.5" customHeight="1">
      <c r="A171" s="13" t="s">
        <v>1201</v>
      </c>
      <c r="B171" s="14" t="s">
        <v>1059</v>
      </c>
      <c r="C171" s="14" t="s">
        <v>1202</v>
      </c>
      <c r="D171" s="15" t="s">
        <v>43</v>
      </c>
      <c r="E171" s="13" t="s">
        <v>46</v>
      </c>
      <c r="F171" s="14" t="s">
        <v>1203</v>
      </c>
      <c r="G171" s="14" t="s">
        <v>1204</v>
      </c>
      <c r="H171" s="14" t="s">
        <v>1205</v>
      </c>
      <c r="I171" s="14"/>
      <c r="J171" s="16" t="s">
        <v>51</v>
      </c>
      <c r="K171" s="14" t="s">
        <v>631</v>
      </c>
    </row>
    <row r="172" spans="1:11" ht="42" customHeight="1">
      <c r="A172" s="17" t="s">
        <v>1206</v>
      </c>
      <c r="B172" s="18" t="s">
        <v>1059</v>
      </c>
      <c r="C172" s="18" t="s">
        <v>1207</v>
      </c>
      <c r="D172" s="19" t="s">
        <v>44</v>
      </c>
      <c r="E172" s="17" t="s">
        <v>45</v>
      </c>
      <c r="F172" s="18" t="s">
        <v>1208</v>
      </c>
      <c r="G172" s="18" t="s">
        <v>1209</v>
      </c>
      <c r="H172" s="18" t="s">
        <v>1210</v>
      </c>
      <c r="I172" s="18"/>
      <c r="J172" s="16" t="s">
        <v>51</v>
      </c>
      <c r="K172" s="18" t="s">
        <v>631</v>
      </c>
    </row>
    <row r="173" spans="1:11" ht="42" customHeight="1">
      <c r="A173" s="13" t="s">
        <v>1211</v>
      </c>
      <c r="B173" s="14" t="s">
        <v>1059</v>
      </c>
      <c r="C173" s="14" t="s">
        <v>1212</v>
      </c>
      <c r="D173" s="15" t="s">
        <v>43</v>
      </c>
      <c r="E173" s="13" t="s">
        <v>46</v>
      </c>
      <c r="F173" s="14" t="s">
        <v>1213</v>
      </c>
      <c r="G173" s="14" t="s">
        <v>1214</v>
      </c>
      <c r="H173" s="14" t="s">
        <v>1215</v>
      </c>
      <c r="I173" s="14"/>
      <c r="J173" s="16" t="s">
        <v>51</v>
      </c>
      <c r="K173" s="14"/>
    </row>
    <row r="174" spans="1:11" ht="27.75" customHeight="1">
      <c r="A174" s="17" t="s">
        <v>1216</v>
      </c>
      <c r="B174" s="18" t="s">
        <v>1059</v>
      </c>
      <c r="C174" s="18" t="s">
        <v>1217</v>
      </c>
      <c r="D174" s="19" t="s">
        <v>44</v>
      </c>
      <c r="E174" s="17" t="s">
        <v>45</v>
      </c>
      <c r="F174" s="18" t="s">
        <v>1218</v>
      </c>
      <c r="G174" s="18" t="s">
        <v>1219</v>
      </c>
      <c r="H174" s="18" t="s">
        <v>1220</v>
      </c>
      <c r="I174" s="18"/>
      <c r="J174" s="16" t="s">
        <v>51</v>
      </c>
      <c r="K174" s="18"/>
    </row>
    <row r="175" spans="1:11" ht="19.5" customHeight="1">
      <c r="A175" s="22" t="s">
        <v>4867</v>
      </c>
      <c r="B175" s="23"/>
      <c r="C175" s="23"/>
      <c r="D175" s="23"/>
      <c r="E175" s="23"/>
      <c r="F175" s="23"/>
      <c r="G175" s="23"/>
      <c r="H175" s="23"/>
      <c r="I175" s="23"/>
      <c r="J175" s="23"/>
      <c r="K175" s="23"/>
    </row>
    <row r="176" spans="1:11" ht="55.5" customHeight="1">
      <c r="A176" s="13" t="s">
        <v>1221</v>
      </c>
      <c r="B176" s="14" t="s">
        <v>1222</v>
      </c>
      <c r="C176" s="14" t="s">
        <v>1223</v>
      </c>
      <c r="D176" s="15" t="s">
        <v>43</v>
      </c>
      <c r="E176" s="13" t="s">
        <v>46</v>
      </c>
      <c r="F176" s="14" t="s">
        <v>1224</v>
      </c>
      <c r="G176" s="14" t="s">
        <v>1225</v>
      </c>
      <c r="H176" s="14" t="s">
        <v>1226</v>
      </c>
      <c r="I176" s="14"/>
      <c r="J176" s="16" t="s">
        <v>51</v>
      </c>
      <c r="K176" s="14"/>
    </row>
    <row r="177" spans="1:11" ht="42" customHeight="1">
      <c r="A177" s="17" t="s">
        <v>1227</v>
      </c>
      <c r="B177" s="18" t="s">
        <v>1222</v>
      </c>
      <c r="C177" s="18" t="s">
        <v>1228</v>
      </c>
      <c r="D177" s="19" t="s">
        <v>44</v>
      </c>
      <c r="E177" s="17" t="s">
        <v>46</v>
      </c>
      <c r="F177" s="18" t="s">
        <v>1229</v>
      </c>
      <c r="G177" s="18" t="s">
        <v>1230</v>
      </c>
      <c r="H177" s="18" t="s">
        <v>1231</v>
      </c>
      <c r="I177" s="18"/>
      <c r="J177" s="16" t="s">
        <v>51</v>
      </c>
      <c r="K177" s="18"/>
    </row>
    <row r="178" spans="1:11" ht="42" customHeight="1">
      <c r="A178" s="17" t="s">
        <v>1232</v>
      </c>
      <c r="B178" s="18" t="s">
        <v>1222</v>
      </c>
      <c r="C178" s="18" t="s">
        <v>1233</v>
      </c>
      <c r="D178" s="19" t="s">
        <v>44</v>
      </c>
      <c r="E178" s="17" t="s">
        <v>46</v>
      </c>
      <c r="F178" s="18" t="s">
        <v>1234</v>
      </c>
      <c r="G178" s="18" t="s">
        <v>1235</v>
      </c>
      <c r="H178" s="18" t="s">
        <v>156</v>
      </c>
      <c r="I178" s="18"/>
      <c r="J178" s="16" t="s">
        <v>51</v>
      </c>
      <c r="K178" s="18"/>
    </row>
    <row r="179" spans="1:11" ht="42" customHeight="1">
      <c r="A179" s="17" t="s">
        <v>1236</v>
      </c>
      <c r="B179" s="18" t="s">
        <v>1222</v>
      </c>
      <c r="C179" s="18" t="s">
        <v>1237</v>
      </c>
      <c r="D179" s="19" t="s">
        <v>44</v>
      </c>
      <c r="E179" s="17" t="s">
        <v>47</v>
      </c>
      <c r="F179" s="18" t="s">
        <v>1238</v>
      </c>
      <c r="G179" s="18" t="s">
        <v>1239</v>
      </c>
      <c r="H179" s="18" t="s">
        <v>630</v>
      </c>
      <c r="I179" s="18"/>
      <c r="J179" s="16" t="s">
        <v>51</v>
      </c>
      <c r="K179" s="18" t="s">
        <v>631</v>
      </c>
    </row>
    <row r="180" spans="1:11" ht="55.5" customHeight="1">
      <c r="A180" s="13" t="s">
        <v>1240</v>
      </c>
      <c r="B180" s="14" t="s">
        <v>1222</v>
      </c>
      <c r="C180" s="14" t="s">
        <v>1241</v>
      </c>
      <c r="D180" s="15" t="s">
        <v>43</v>
      </c>
      <c r="E180" s="13" t="s">
        <v>46</v>
      </c>
      <c r="F180" s="14" t="s">
        <v>1242</v>
      </c>
      <c r="G180" s="14" t="s">
        <v>1243</v>
      </c>
      <c r="H180" s="14" t="s">
        <v>1244</v>
      </c>
      <c r="I180" s="14"/>
      <c r="J180" s="16" t="s">
        <v>51</v>
      </c>
      <c r="K180" s="14"/>
    </row>
    <row r="181" spans="1:11" ht="42" customHeight="1">
      <c r="A181" s="17" t="s">
        <v>1245</v>
      </c>
      <c r="B181" s="18" t="s">
        <v>1222</v>
      </c>
      <c r="C181" s="18" t="s">
        <v>1246</v>
      </c>
      <c r="D181" s="19" t="s">
        <v>44</v>
      </c>
      <c r="E181" s="17" t="s">
        <v>46</v>
      </c>
      <c r="F181" s="18" t="s">
        <v>1247</v>
      </c>
      <c r="G181" s="18" t="s">
        <v>1248</v>
      </c>
      <c r="H181" s="18" t="s">
        <v>1249</v>
      </c>
      <c r="I181" s="18"/>
      <c r="J181" s="16" t="s">
        <v>51</v>
      </c>
      <c r="K181" s="18"/>
    </row>
    <row r="182" spans="1:11" ht="42" customHeight="1">
      <c r="A182" s="17" t="s">
        <v>1250</v>
      </c>
      <c r="B182" s="18" t="s">
        <v>1222</v>
      </c>
      <c r="C182" s="18" t="s">
        <v>1251</v>
      </c>
      <c r="D182" s="19" t="s">
        <v>44</v>
      </c>
      <c r="E182" s="17" t="s">
        <v>46</v>
      </c>
      <c r="F182" s="18" t="s">
        <v>1252</v>
      </c>
      <c r="G182" s="18" t="s">
        <v>1253</v>
      </c>
      <c r="H182" s="18" t="s">
        <v>156</v>
      </c>
      <c r="I182" s="18"/>
      <c r="J182" s="16" t="s">
        <v>51</v>
      </c>
      <c r="K182" s="18"/>
    </row>
    <row r="183" spans="1:11" ht="42" customHeight="1">
      <c r="A183" s="17" t="s">
        <v>1254</v>
      </c>
      <c r="B183" s="18" t="s">
        <v>1222</v>
      </c>
      <c r="C183" s="18" t="s">
        <v>1255</v>
      </c>
      <c r="D183" s="19" t="s">
        <v>44</v>
      </c>
      <c r="E183" s="17" t="s">
        <v>47</v>
      </c>
      <c r="F183" s="18" t="s">
        <v>1256</v>
      </c>
      <c r="G183" s="18" t="s">
        <v>1257</v>
      </c>
      <c r="H183" s="18" t="s">
        <v>630</v>
      </c>
      <c r="I183" s="18"/>
      <c r="J183" s="16" t="s">
        <v>51</v>
      </c>
      <c r="K183" s="18" t="s">
        <v>631</v>
      </c>
    </row>
    <row r="184" spans="1:11" ht="42" customHeight="1">
      <c r="A184" s="13" t="s">
        <v>1258</v>
      </c>
      <c r="B184" s="14" t="s">
        <v>1222</v>
      </c>
      <c r="C184" s="14" t="s">
        <v>1259</v>
      </c>
      <c r="D184" s="15" t="s">
        <v>43</v>
      </c>
      <c r="E184" s="13" t="s">
        <v>46</v>
      </c>
      <c r="F184" s="14" t="s">
        <v>1260</v>
      </c>
      <c r="G184" s="14" t="s">
        <v>1261</v>
      </c>
      <c r="H184" s="14" t="s">
        <v>758</v>
      </c>
      <c r="I184" s="14"/>
      <c r="J184" s="16" t="s">
        <v>51</v>
      </c>
      <c r="K184" s="14"/>
    </row>
    <row r="185" spans="1:11" ht="27.75" customHeight="1">
      <c r="A185" s="17" t="s">
        <v>1262</v>
      </c>
      <c r="B185" s="18" t="s">
        <v>1222</v>
      </c>
      <c r="C185" s="18" t="s">
        <v>1263</v>
      </c>
      <c r="D185" s="19" t="s">
        <v>44</v>
      </c>
      <c r="E185" s="17" t="s">
        <v>46</v>
      </c>
      <c r="F185" s="18" t="s">
        <v>1264</v>
      </c>
      <c r="G185" s="18" t="s">
        <v>1265</v>
      </c>
      <c r="H185" s="18" t="s">
        <v>1266</v>
      </c>
      <c r="I185" s="18"/>
      <c r="J185" s="16" t="s">
        <v>51</v>
      </c>
      <c r="K185" s="18"/>
    </row>
    <row r="186" spans="1:11" ht="42" customHeight="1">
      <c r="A186" s="17" t="s">
        <v>1267</v>
      </c>
      <c r="B186" s="18" t="s">
        <v>1222</v>
      </c>
      <c r="C186" s="18" t="s">
        <v>1268</v>
      </c>
      <c r="D186" s="19" t="s">
        <v>44</v>
      </c>
      <c r="E186" s="17" t="s">
        <v>46</v>
      </c>
      <c r="F186" s="18" t="s">
        <v>1269</v>
      </c>
      <c r="G186" s="18" t="s">
        <v>1270</v>
      </c>
      <c r="H186" s="18" t="s">
        <v>1271</v>
      </c>
      <c r="I186" s="18"/>
      <c r="J186" s="16" t="s">
        <v>51</v>
      </c>
      <c r="K186" s="18"/>
    </row>
    <row r="187" spans="1:11" ht="55.5" customHeight="1">
      <c r="A187" s="13" t="s">
        <v>1272</v>
      </c>
      <c r="B187" s="14" t="s">
        <v>1222</v>
      </c>
      <c r="C187" s="14" t="s">
        <v>1078</v>
      </c>
      <c r="D187" s="15" t="s">
        <v>43</v>
      </c>
      <c r="E187" s="13" t="s">
        <v>46</v>
      </c>
      <c r="F187" s="14" t="s">
        <v>1079</v>
      </c>
      <c r="G187" s="14" t="s">
        <v>1273</v>
      </c>
      <c r="H187" s="14" t="s">
        <v>758</v>
      </c>
      <c r="I187" s="14"/>
      <c r="J187" s="16" t="s">
        <v>51</v>
      </c>
      <c r="K187" s="14"/>
    </row>
    <row r="188" spans="1:11" ht="27.75" customHeight="1">
      <c r="A188" s="17" t="s">
        <v>1274</v>
      </c>
      <c r="B188" s="18" t="s">
        <v>1222</v>
      </c>
      <c r="C188" s="18" t="s">
        <v>1082</v>
      </c>
      <c r="D188" s="19" t="s">
        <v>44</v>
      </c>
      <c r="E188" s="17" t="s">
        <v>46</v>
      </c>
      <c r="F188" s="18" t="s">
        <v>1083</v>
      </c>
      <c r="G188" s="18" t="s">
        <v>1084</v>
      </c>
      <c r="H188" s="18" t="s">
        <v>1085</v>
      </c>
      <c r="I188" s="18"/>
      <c r="J188" s="16" t="s">
        <v>51</v>
      </c>
      <c r="K188" s="18"/>
    </row>
    <row r="189" spans="1:11" ht="42" customHeight="1">
      <c r="A189" s="17" t="s">
        <v>1275</v>
      </c>
      <c r="B189" s="18" t="s">
        <v>1222</v>
      </c>
      <c r="C189" s="18" t="s">
        <v>1087</v>
      </c>
      <c r="D189" s="19" t="s">
        <v>44</v>
      </c>
      <c r="E189" s="17" t="s">
        <v>46</v>
      </c>
      <c r="F189" s="18" t="s">
        <v>1088</v>
      </c>
      <c r="G189" s="18" t="s">
        <v>1089</v>
      </c>
      <c r="H189" s="18" t="s">
        <v>1090</v>
      </c>
      <c r="I189" s="18"/>
      <c r="J189" s="16" t="s">
        <v>51</v>
      </c>
      <c r="K189" s="18" t="s">
        <v>631</v>
      </c>
    </row>
    <row r="190" spans="1:11" ht="55.5" customHeight="1">
      <c r="A190" s="17" t="s">
        <v>1276</v>
      </c>
      <c r="B190" s="18" t="s">
        <v>1222</v>
      </c>
      <c r="C190" s="18" t="s">
        <v>1092</v>
      </c>
      <c r="D190" s="19" t="s">
        <v>44</v>
      </c>
      <c r="E190" s="17" t="s">
        <v>47</v>
      </c>
      <c r="F190" s="18" t="s">
        <v>1093</v>
      </c>
      <c r="G190" s="18" t="s">
        <v>1094</v>
      </c>
      <c r="H190" s="18" t="s">
        <v>1095</v>
      </c>
      <c r="I190" s="18"/>
      <c r="J190" s="16" t="s">
        <v>51</v>
      </c>
      <c r="K190" s="18" t="s">
        <v>631</v>
      </c>
    </row>
    <row r="191" spans="1:11" ht="42" customHeight="1">
      <c r="A191" s="13" t="s">
        <v>1277</v>
      </c>
      <c r="B191" s="14" t="s">
        <v>1222</v>
      </c>
      <c r="C191" s="14" t="s">
        <v>1097</v>
      </c>
      <c r="D191" s="15" t="s">
        <v>43</v>
      </c>
      <c r="E191" s="13" t="s">
        <v>46</v>
      </c>
      <c r="F191" s="14" t="s">
        <v>1098</v>
      </c>
      <c r="G191" s="14" t="s">
        <v>1099</v>
      </c>
      <c r="H191" s="14" t="s">
        <v>743</v>
      </c>
      <c r="I191" s="14"/>
      <c r="J191" s="16" t="s">
        <v>51</v>
      </c>
      <c r="K191" s="14"/>
    </row>
    <row r="192" spans="1:11" ht="42" customHeight="1">
      <c r="A192" s="17" t="s">
        <v>1278</v>
      </c>
      <c r="B192" s="18" t="s">
        <v>1222</v>
      </c>
      <c r="C192" s="18" t="s">
        <v>1101</v>
      </c>
      <c r="D192" s="19" t="s">
        <v>44</v>
      </c>
      <c r="E192" s="17" t="s">
        <v>46</v>
      </c>
      <c r="F192" s="18" t="s">
        <v>1102</v>
      </c>
      <c r="G192" s="18" t="s">
        <v>1103</v>
      </c>
      <c r="H192" s="18" t="s">
        <v>1104</v>
      </c>
      <c r="I192" s="18"/>
      <c r="J192" s="16" t="s">
        <v>51</v>
      </c>
      <c r="K192" s="18"/>
    </row>
    <row r="193" spans="1:11" ht="42" customHeight="1">
      <c r="A193" s="13" t="s">
        <v>1279</v>
      </c>
      <c r="B193" s="14" t="s">
        <v>1222</v>
      </c>
      <c r="C193" s="14" t="s">
        <v>1106</v>
      </c>
      <c r="D193" s="15" t="s">
        <v>43</v>
      </c>
      <c r="E193" s="13" t="s">
        <v>47</v>
      </c>
      <c r="F193" s="14" t="s">
        <v>1107</v>
      </c>
      <c r="G193" s="14" t="s">
        <v>1108</v>
      </c>
      <c r="H193" s="14" t="s">
        <v>753</v>
      </c>
      <c r="I193" s="14"/>
      <c r="J193" s="16" t="s">
        <v>51</v>
      </c>
      <c r="K193" s="14" t="s">
        <v>631</v>
      </c>
    </row>
    <row r="194" spans="1:11" ht="42" customHeight="1">
      <c r="A194" s="13" t="s">
        <v>1280</v>
      </c>
      <c r="B194" s="14" t="s">
        <v>1222</v>
      </c>
      <c r="C194" s="14" t="s">
        <v>1110</v>
      </c>
      <c r="D194" s="15" t="s">
        <v>43</v>
      </c>
      <c r="E194" s="13" t="s">
        <v>46</v>
      </c>
      <c r="F194" s="14" t="s">
        <v>1111</v>
      </c>
      <c r="G194" s="14" t="s">
        <v>1112</v>
      </c>
      <c r="H194" s="14" t="s">
        <v>743</v>
      </c>
      <c r="I194" s="14"/>
      <c r="J194" s="16" t="s">
        <v>51</v>
      </c>
      <c r="K194" s="14"/>
    </row>
    <row r="195" spans="1:11" ht="42" customHeight="1">
      <c r="A195" s="17" t="s">
        <v>1281</v>
      </c>
      <c r="B195" s="18" t="s">
        <v>1222</v>
      </c>
      <c r="C195" s="18" t="s">
        <v>1114</v>
      </c>
      <c r="D195" s="19" t="s">
        <v>44</v>
      </c>
      <c r="E195" s="17" t="s">
        <v>46</v>
      </c>
      <c r="F195" s="18" t="s">
        <v>1115</v>
      </c>
      <c r="G195" s="18" t="s">
        <v>1116</v>
      </c>
      <c r="H195" s="18" t="s">
        <v>1117</v>
      </c>
      <c r="I195" s="18"/>
      <c r="J195" s="16" t="s">
        <v>51</v>
      </c>
      <c r="K195" s="18"/>
    </row>
    <row r="196" spans="1:11" ht="42" customHeight="1">
      <c r="A196" s="13" t="s">
        <v>1282</v>
      </c>
      <c r="B196" s="14" t="s">
        <v>1222</v>
      </c>
      <c r="C196" s="14" t="s">
        <v>1119</v>
      </c>
      <c r="D196" s="15" t="s">
        <v>43</v>
      </c>
      <c r="E196" s="13" t="s">
        <v>47</v>
      </c>
      <c r="F196" s="14" t="s">
        <v>1120</v>
      </c>
      <c r="G196" s="14" t="s">
        <v>1121</v>
      </c>
      <c r="H196" s="14" t="s">
        <v>753</v>
      </c>
      <c r="I196" s="14"/>
      <c r="J196" s="16" t="s">
        <v>51</v>
      </c>
      <c r="K196" s="14" t="s">
        <v>631</v>
      </c>
    </row>
    <row r="197" spans="1:11" ht="42" customHeight="1">
      <c r="A197" s="13" t="s">
        <v>1283</v>
      </c>
      <c r="B197" s="14" t="s">
        <v>1222</v>
      </c>
      <c r="C197" s="14" t="s">
        <v>1141</v>
      </c>
      <c r="D197" s="15" t="s">
        <v>43</v>
      </c>
      <c r="E197" s="13" t="s">
        <v>46</v>
      </c>
      <c r="F197" s="14" t="s">
        <v>1142</v>
      </c>
      <c r="G197" s="14" t="s">
        <v>1284</v>
      </c>
      <c r="H197" s="14" t="s">
        <v>743</v>
      </c>
      <c r="I197" s="14"/>
      <c r="J197" s="16" t="s">
        <v>51</v>
      </c>
      <c r="K197" s="14"/>
    </row>
    <row r="198" spans="1:11" ht="42" customHeight="1">
      <c r="A198" s="17" t="s">
        <v>1285</v>
      </c>
      <c r="B198" s="18" t="s">
        <v>1222</v>
      </c>
      <c r="C198" s="18" t="s">
        <v>1145</v>
      </c>
      <c r="D198" s="19" t="s">
        <v>44</v>
      </c>
      <c r="E198" s="17" t="s">
        <v>46</v>
      </c>
      <c r="F198" s="18" t="s">
        <v>1146</v>
      </c>
      <c r="G198" s="18" t="s">
        <v>1147</v>
      </c>
      <c r="H198" s="18" t="s">
        <v>1148</v>
      </c>
      <c r="I198" s="18"/>
      <c r="J198" s="16" t="s">
        <v>51</v>
      </c>
      <c r="K198" s="18"/>
    </row>
    <row r="199" spans="1:11" ht="42" customHeight="1">
      <c r="A199" s="13" t="s">
        <v>1286</v>
      </c>
      <c r="B199" s="14" t="s">
        <v>1222</v>
      </c>
      <c r="C199" s="14" t="s">
        <v>1150</v>
      </c>
      <c r="D199" s="15" t="s">
        <v>43</v>
      </c>
      <c r="E199" s="13" t="s">
        <v>47</v>
      </c>
      <c r="F199" s="14" t="s">
        <v>1151</v>
      </c>
      <c r="G199" s="14" t="s">
        <v>1152</v>
      </c>
      <c r="H199" s="14" t="s">
        <v>753</v>
      </c>
      <c r="I199" s="14"/>
      <c r="J199" s="16" t="s">
        <v>51</v>
      </c>
      <c r="K199" s="14" t="s">
        <v>631</v>
      </c>
    </row>
    <row r="200" spans="1:11" ht="69.75" customHeight="1">
      <c r="A200" s="13" t="s">
        <v>1287</v>
      </c>
      <c r="B200" s="14" t="s">
        <v>1222</v>
      </c>
      <c r="C200" s="14" t="s">
        <v>1154</v>
      </c>
      <c r="D200" s="15" t="s">
        <v>43</v>
      </c>
      <c r="E200" s="13" t="s">
        <v>46</v>
      </c>
      <c r="F200" s="14" t="s">
        <v>1155</v>
      </c>
      <c r="G200" s="14" t="s">
        <v>1288</v>
      </c>
      <c r="H200" s="14" t="s">
        <v>1157</v>
      </c>
      <c r="I200" s="14"/>
      <c r="J200" s="16" t="s">
        <v>51</v>
      </c>
      <c r="K200" s="14"/>
    </row>
    <row r="201" spans="1:11" ht="27.75" customHeight="1">
      <c r="A201" s="17" t="s">
        <v>1289</v>
      </c>
      <c r="B201" s="18" t="s">
        <v>1222</v>
      </c>
      <c r="C201" s="18" t="s">
        <v>1159</v>
      </c>
      <c r="D201" s="19" t="s">
        <v>44</v>
      </c>
      <c r="E201" s="17" t="s">
        <v>46</v>
      </c>
      <c r="F201" s="18" t="s">
        <v>1160</v>
      </c>
      <c r="G201" s="18" t="s">
        <v>1161</v>
      </c>
      <c r="H201" s="18" t="s">
        <v>1162</v>
      </c>
      <c r="I201" s="18"/>
      <c r="J201" s="16" t="s">
        <v>51</v>
      </c>
      <c r="K201" s="18"/>
    </row>
    <row r="202" spans="1:11" ht="55.5" customHeight="1">
      <c r="A202" s="17" t="s">
        <v>1290</v>
      </c>
      <c r="B202" s="18" t="s">
        <v>1222</v>
      </c>
      <c r="C202" s="18" t="s">
        <v>1164</v>
      </c>
      <c r="D202" s="19" t="s">
        <v>44</v>
      </c>
      <c r="E202" s="17" t="s">
        <v>46</v>
      </c>
      <c r="F202" s="18" t="s">
        <v>1291</v>
      </c>
      <c r="G202" s="18" t="s">
        <v>1292</v>
      </c>
      <c r="H202" s="18" t="s">
        <v>1167</v>
      </c>
      <c r="I202" s="18"/>
      <c r="J202" s="16" t="s">
        <v>51</v>
      </c>
      <c r="K202" s="18" t="s">
        <v>631</v>
      </c>
    </row>
    <row r="203" spans="1:11" ht="42" customHeight="1">
      <c r="A203" s="17" t="s">
        <v>1293</v>
      </c>
      <c r="B203" s="18" t="s">
        <v>1222</v>
      </c>
      <c r="C203" s="18" t="s">
        <v>1169</v>
      </c>
      <c r="D203" s="19" t="s">
        <v>44</v>
      </c>
      <c r="E203" s="17" t="s">
        <v>47</v>
      </c>
      <c r="F203" s="18" t="s">
        <v>1170</v>
      </c>
      <c r="G203" s="18" t="s">
        <v>1171</v>
      </c>
      <c r="H203" s="18" t="s">
        <v>651</v>
      </c>
      <c r="I203" s="18"/>
      <c r="J203" s="16" t="s">
        <v>51</v>
      </c>
      <c r="K203" s="18" t="s">
        <v>631</v>
      </c>
    </row>
    <row r="204" spans="1:11" ht="55.5" customHeight="1">
      <c r="A204" s="13" t="s">
        <v>1294</v>
      </c>
      <c r="B204" s="14" t="s">
        <v>1222</v>
      </c>
      <c r="C204" s="14" t="s">
        <v>1295</v>
      </c>
      <c r="D204" s="15" t="s">
        <v>43</v>
      </c>
      <c r="E204" s="13" t="s">
        <v>46</v>
      </c>
      <c r="F204" s="14" t="s">
        <v>1296</v>
      </c>
      <c r="G204" s="14" t="s">
        <v>109</v>
      </c>
      <c r="H204" s="14" t="s">
        <v>1297</v>
      </c>
      <c r="I204" s="14"/>
      <c r="J204" s="16" t="s">
        <v>51</v>
      </c>
      <c r="K204" s="14" t="s">
        <v>1298</v>
      </c>
    </row>
    <row r="205" spans="1:11" ht="19.5" customHeight="1">
      <c r="A205" s="22" t="s">
        <v>4868</v>
      </c>
      <c r="B205" s="23"/>
      <c r="C205" s="23"/>
      <c r="D205" s="23"/>
      <c r="E205" s="23"/>
      <c r="F205" s="23"/>
      <c r="G205" s="23"/>
      <c r="H205" s="23"/>
      <c r="I205" s="23"/>
      <c r="J205" s="23"/>
      <c r="K205" s="23"/>
    </row>
    <row r="206" spans="1:11" ht="55.5" customHeight="1">
      <c r="A206" s="13" t="s">
        <v>1299</v>
      </c>
      <c r="B206" s="14" t="s">
        <v>1300</v>
      </c>
      <c r="C206" s="14" t="s">
        <v>1301</v>
      </c>
      <c r="D206" s="15" t="s">
        <v>43</v>
      </c>
      <c r="E206" s="13" t="s">
        <v>46</v>
      </c>
      <c r="F206" s="14" t="s">
        <v>1302</v>
      </c>
      <c r="G206" s="14" t="s">
        <v>1303</v>
      </c>
      <c r="H206" s="14" t="s">
        <v>1304</v>
      </c>
      <c r="I206" s="14"/>
      <c r="J206" s="16" t="s">
        <v>51</v>
      </c>
      <c r="K206" s="14"/>
    </row>
    <row r="207" spans="1:11" ht="27.75" customHeight="1">
      <c r="A207" s="17" t="s">
        <v>1305</v>
      </c>
      <c r="B207" s="18" t="s">
        <v>1300</v>
      </c>
      <c r="C207" s="18" t="s">
        <v>1306</v>
      </c>
      <c r="D207" s="19" t="s">
        <v>44</v>
      </c>
      <c r="E207" s="17" t="s">
        <v>46</v>
      </c>
      <c r="F207" s="18" t="s">
        <v>1307</v>
      </c>
      <c r="G207" s="18" t="s">
        <v>1308</v>
      </c>
      <c r="H207" s="18" t="s">
        <v>1309</v>
      </c>
      <c r="I207" s="18"/>
      <c r="J207" s="16" t="s">
        <v>51</v>
      </c>
      <c r="K207" s="18"/>
    </row>
    <row r="208" spans="1:11" ht="42" customHeight="1">
      <c r="A208" s="17" t="s">
        <v>1310</v>
      </c>
      <c r="B208" s="18" t="s">
        <v>1300</v>
      </c>
      <c r="C208" s="18" t="s">
        <v>1311</v>
      </c>
      <c r="D208" s="19" t="s">
        <v>44</v>
      </c>
      <c r="E208" s="17" t="s">
        <v>46</v>
      </c>
      <c r="F208" s="18" t="s">
        <v>1312</v>
      </c>
      <c r="G208" s="18" t="s">
        <v>1313</v>
      </c>
      <c r="H208" s="18" t="s">
        <v>1314</v>
      </c>
      <c r="I208" s="18"/>
      <c r="J208" s="16" t="s">
        <v>51</v>
      </c>
      <c r="K208" s="18" t="s">
        <v>631</v>
      </c>
    </row>
    <row r="209" spans="1:11" ht="42" customHeight="1">
      <c r="A209" s="17" t="s">
        <v>1315</v>
      </c>
      <c r="B209" s="18" t="s">
        <v>1300</v>
      </c>
      <c r="C209" s="18" t="s">
        <v>1316</v>
      </c>
      <c r="D209" s="19" t="s">
        <v>44</v>
      </c>
      <c r="E209" s="17" t="s">
        <v>47</v>
      </c>
      <c r="F209" s="18" t="s">
        <v>1317</v>
      </c>
      <c r="G209" s="18" t="s">
        <v>1318</v>
      </c>
      <c r="H209" s="18" t="s">
        <v>651</v>
      </c>
      <c r="I209" s="18"/>
      <c r="J209" s="16" t="s">
        <v>51</v>
      </c>
      <c r="K209" s="18" t="s">
        <v>631</v>
      </c>
    </row>
    <row r="210" spans="1:11" ht="69.75" customHeight="1">
      <c r="A210" s="13" t="s">
        <v>1319</v>
      </c>
      <c r="B210" s="14" t="s">
        <v>1300</v>
      </c>
      <c r="C210" s="14" t="s">
        <v>1320</v>
      </c>
      <c r="D210" s="15" t="s">
        <v>43</v>
      </c>
      <c r="E210" s="13" t="s">
        <v>46</v>
      </c>
      <c r="F210" s="14" t="s">
        <v>1321</v>
      </c>
      <c r="G210" s="14" t="s">
        <v>1322</v>
      </c>
      <c r="H210" s="14" t="s">
        <v>1323</v>
      </c>
      <c r="I210" s="14"/>
      <c r="J210" s="16" t="s">
        <v>51</v>
      </c>
      <c r="K210" s="14"/>
    </row>
    <row r="211" spans="1:11" ht="27.75" customHeight="1">
      <c r="A211" s="17" t="s">
        <v>1324</v>
      </c>
      <c r="B211" s="18" t="s">
        <v>1300</v>
      </c>
      <c r="C211" s="18" t="s">
        <v>1325</v>
      </c>
      <c r="D211" s="19" t="s">
        <v>44</v>
      </c>
      <c r="E211" s="17" t="s">
        <v>46</v>
      </c>
      <c r="F211" s="18" t="s">
        <v>1326</v>
      </c>
      <c r="G211" s="18" t="s">
        <v>1327</v>
      </c>
      <c r="H211" s="18" t="s">
        <v>1328</v>
      </c>
      <c r="I211" s="18"/>
      <c r="J211" s="16" t="s">
        <v>51</v>
      </c>
      <c r="K211" s="18"/>
    </row>
    <row r="212" spans="1:11" ht="42" customHeight="1">
      <c r="A212" s="17" t="s">
        <v>1329</v>
      </c>
      <c r="B212" s="18" t="s">
        <v>1300</v>
      </c>
      <c r="C212" s="18" t="s">
        <v>1330</v>
      </c>
      <c r="D212" s="19" t="s">
        <v>44</v>
      </c>
      <c r="E212" s="17" t="s">
        <v>46</v>
      </c>
      <c r="F212" s="18" t="s">
        <v>1331</v>
      </c>
      <c r="G212" s="18" t="s">
        <v>1332</v>
      </c>
      <c r="H212" s="18" t="s">
        <v>1333</v>
      </c>
      <c r="I212" s="18"/>
      <c r="J212" s="16" t="s">
        <v>51</v>
      </c>
      <c r="K212" s="18" t="s">
        <v>631</v>
      </c>
    </row>
    <row r="213" spans="1:11" ht="55.5" customHeight="1">
      <c r="A213" s="17" t="s">
        <v>1334</v>
      </c>
      <c r="B213" s="18" t="s">
        <v>1300</v>
      </c>
      <c r="C213" s="18" t="s">
        <v>1335</v>
      </c>
      <c r="D213" s="19" t="s">
        <v>44</v>
      </c>
      <c r="E213" s="17" t="s">
        <v>47</v>
      </c>
      <c r="F213" s="18" t="s">
        <v>1336</v>
      </c>
      <c r="G213" s="18" t="s">
        <v>1337</v>
      </c>
      <c r="H213" s="18" t="s">
        <v>651</v>
      </c>
      <c r="I213" s="18"/>
      <c r="J213" s="16" t="s">
        <v>51</v>
      </c>
      <c r="K213" s="18" t="s">
        <v>631</v>
      </c>
    </row>
    <row r="214" spans="1:11" ht="55.5" customHeight="1">
      <c r="A214" s="13" t="s">
        <v>1338</v>
      </c>
      <c r="B214" s="14" t="s">
        <v>1300</v>
      </c>
      <c r="C214" s="14" t="s">
        <v>1339</v>
      </c>
      <c r="D214" s="15" t="s">
        <v>43</v>
      </c>
      <c r="E214" s="13" t="s">
        <v>46</v>
      </c>
      <c r="F214" s="14" t="s">
        <v>1340</v>
      </c>
      <c r="G214" s="14" t="s">
        <v>1341</v>
      </c>
      <c r="H214" s="14" t="s">
        <v>1342</v>
      </c>
      <c r="I214" s="14"/>
      <c r="J214" s="16" t="s">
        <v>51</v>
      </c>
      <c r="K214" s="14"/>
    </row>
    <row r="215" spans="1:11" ht="42" customHeight="1">
      <c r="A215" s="17" t="s">
        <v>1343</v>
      </c>
      <c r="B215" s="18" t="s">
        <v>1300</v>
      </c>
      <c r="C215" s="18" t="s">
        <v>1344</v>
      </c>
      <c r="D215" s="19" t="s">
        <v>44</v>
      </c>
      <c r="E215" s="17" t="s">
        <v>46</v>
      </c>
      <c r="F215" s="18" t="s">
        <v>1345</v>
      </c>
      <c r="G215" s="18" t="s">
        <v>1346</v>
      </c>
      <c r="H215" s="18" t="s">
        <v>1347</v>
      </c>
      <c r="I215" s="18"/>
      <c r="J215" s="16" t="s">
        <v>51</v>
      </c>
      <c r="K215" s="18"/>
    </row>
    <row r="216" spans="1:11" ht="42" customHeight="1">
      <c r="A216" s="17" t="s">
        <v>1348</v>
      </c>
      <c r="B216" s="18" t="s">
        <v>1300</v>
      </c>
      <c r="C216" s="18" t="s">
        <v>1349</v>
      </c>
      <c r="D216" s="19" t="s">
        <v>44</v>
      </c>
      <c r="E216" s="17" t="s">
        <v>46</v>
      </c>
      <c r="F216" s="18" t="s">
        <v>1350</v>
      </c>
      <c r="G216" s="18" t="s">
        <v>1351</v>
      </c>
      <c r="H216" s="18" t="s">
        <v>156</v>
      </c>
      <c r="I216" s="18"/>
      <c r="J216" s="16" t="s">
        <v>51</v>
      </c>
      <c r="K216" s="18"/>
    </row>
    <row r="217" spans="1:11" ht="42" customHeight="1">
      <c r="A217" s="17" t="s">
        <v>1352</v>
      </c>
      <c r="B217" s="18" t="s">
        <v>1300</v>
      </c>
      <c r="C217" s="18" t="s">
        <v>1353</v>
      </c>
      <c r="D217" s="19" t="s">
        <v>44</v>
      </c>
      <c r="E217" s="17" t="s">
        <v>47</v>
      </c>
      <c r="F217" s="18" t="s">
        <v>1354</v>
      </c>
      <c r="G217" s="18" t="s">
        <v>1355</v>
      </c>
      <c r="H217" s="18" t="s">
        <v>630</v>
      </c>
      <c r="I217" s="18"/>
      <c r="J217" s="16" t="s">
        <v>51</v>
      </c>
      <c r="K217" s="18" t="s">
        <v>631</v>
      </c>
    </row>
    <row r="218" spans="1:11" ht="55.5" customHeight="1">
      <c r="A218" s="13" t="s">
        <v>1356</v>
      </c>
      <c r="B218" s="14" t="s">
        <v>1300</v>
      </c>
      <c r="C218" s="14" t="s">
        <v>1357</v>
      </c>
      <c r="D218" s="15" t="s">
        <v>43</v>
      </c>
      <c r="E218" s="13" t="s">
        <v>46</v>
      </c>
      <c r="F218" s="14" t="s">
        <v>1358</v>
      </c>
      <c r="G218" s="14" t="s">
        <v>1359</v>
      </c>
      <c r="H218" s="14" t="s">
        <v>1360</v>
      </c>
      <c r="I218" s="14"/>
      <c r="J218" s="16" t="s">
        <v>51</v>
      </c>
      <c r="K218" s="14"/>
    </row>
    <row r="219" spans="1:11" ht="42" customHeight="1">
      <c r="A219" s="17" t="s">
        <v>1361</v>
      </c>
      <c r="B219" s="18" t="s">
        <v>1300</v>
      </c>
      <c r="C219" s="18" t="s">
        <v>1362</v>
      </c>
      <c r="D219" s="19" t="s">
        <v>44</v>
      </c>
      <c r="E219" s="17" t="s">
        <v>46</v>
      </c>
      <c r="F219" s="18" t="s">
        <v>1363</v>
      </c>
      <c r="G219" s="18" t="s">
        <v>1364</v>
      </c>
      <c r="H219" s="18" t="s">
        <v>1365</v>
      </c>
      <c r="I219" s="18"/>
      <c r="J219" s="16" t="s">
        <v>51</v>
      </c>
      <c r="K219" s="18"/>
    </row>
    <row r="220" spans="1:11" ht="42" customHeight="1">
      <c r="A220" s="17" t="s">
        <v>1366</v>
      </c>
      <c r="B220" s="18" t="s">
        <v>1300</v>
      </c>
      <c r="C220" s="18" t="s">
        <v>1367</v>
      </c>
      <c r="D220" s="19" t="s">
        <v>44</v>
      </c>
      <c r="E220" s="17" t="s">
        <v>46</v>
      </c>
      <c r="F220" s="18" t="s">
        <v>1368</v>
      </c>
      <c r="G220" s="18" t="s">
        <v>1369</v>
      </c>
      <c r="H220" s="18" t="s">
        <v>156</v>
      </c>
      <c r="I220" s="18"/>
      <c r="J220" s="16" t="s">
        <v>51</v>
      </c>
      <c r="K220" s="18"/>
    </row>
    <row r="221" spans="1:11" ht="42" customHeight="1">
      <c r="A221" s="17" t="s">
        <v>1370</v>
      </c>
      <c r="B221" s="18" t="s">
        <v>1300</v>
      </c>
      <c r="C221" s="18" t="s">
        <v>1371</v>
      </c>
      <c r="D221" s="19" t="s">
        <v>44</v>
      </c>
      <c r="E221" s="17" t="s">
        <v>47</v>
      </c>
      <c r="F221" s="18" t="s">
        <v>1372</v>
      </c>
      <c r="G221" s="18" t="s">
        <v>1373</v>
      </c>
      <c r="H221" s="18" t="s">
        <v>630</v>
      </c>
      <c r="I221" s="18"/>
      <c r="J221" s="16" t="s">
        <v>51</v>
      </c>
      <c r="K221" s="18" t="s">
        <v>631</v>
      </c>
    </row>
    <row r="222" spans="1:11" ht="42" customHeight="1">
      <c r="A222" s="13" t="s">
        <v>1374</v>
      </c>
      <c r="B222" s="14" t="s">
        <v>1300</v>
      </c>
      <c r="C222" s="14" t="s">
        <v>1375</v>
      </c>
      <c r="D222" s="15" t="s">
        <v>43</v>
      </c>
      <c r="E222" s="13" t="s">
        <v>46</v>
      </c>
      <c r="F222" s="14" t="s">
        <v>1376</v>
      </c>
      <c r="G222" s="14" t="s">
        <v>1377</v>
      </c>
      <c r="H222" s="14" t="s">
        <v>743</v>
      </c>
      <c r="I222" s="14"/>
      <c r="J222" s="16" t="s">
        <v>51</v>
      </c>
      <c r="K222" s="14"/>
    </row>
    <row r="223" spans="1:11" ht="42" customHeight="1">
      <c r="A223" s="17" t="s">
        <v>1378</v>
      </c>
      <c r="B223" s="18" t="s">
        <v>1300</v>
      </c>
      <c r="C223" s="18" t="s">
        <v>1379</v>
      </c>
      <c r="D223" s="19" t="s">
        <v>44</v>
      </c>
      <c r="E223" s="17" t="s">
        <v>46</v>
      </c>
      <c r="F223" s="18" t="s">
        <v>1380</v>
      </c>
      <c r="G223" s="18" t="s">
        <v>1381</v>
      </c>
      <c r="H223" s="18" t="s">
        <v>1382</v>
      </c>
      <c r="I223" s="18"/>
      <c r="J223" s="16" t="s">
        <v>51</v>
      </c>
      <c r="K223" s="18"/>
    </row>
    <row r="224" spans="1:11" ht="42" customHeight="1">
      <c r="A224" s="13" t="s">
        <v>1383</v>
      </c>
      <c r="B224" s="14" t="s">
        <v>1300</v>
      </c>
      <c r="C224" s="14" t="s">
        <v>1384</v>
      </c>
      <c r="D224" s="15" t="s">
        <v>43</v>
      </c>
      <c r="E224" s="13" t="s">
        <v>47</v>
      </c>
      <c r="F224" s="14" t="s">
        <v>1385</v>
      </c>
      <c r="G224" s="14" t="s">
        <v>1386</v>
      </c>
      <c r="H224" s="14" t="s">
        <v>753</v>
      </c>
      <c r="I224" s="14"/>
      <c r="J224" s="16" t="s">
        <v>51</v>
      </c>
      <c r="K224" s="14" t="s">
        <v>631</v>
      </c>
    </row>
    <row r="225" spans="1:11" ht="42" customHeight="1">
      <c r="A225" s="13" t="s">
        <v>1387</v>
      </c>
      <c r="B225" s="14" t="s">
        <v>1300</v>
      </c>
      <c r="C225" s="14" t="s">
        <v>1388</v>
      </c>
      <c r="D225" s="15" t="s">
        <v>43</v>
      </c>
      <c r="E225" s="13" t="s">
        <v>46</v>
      </c>
      <c r="F225" s="14" t="s">
        <v>1389</v>
      </c>
      <c r="G225" s="14" t="s">
        <v>1390</v>
      </c>
      <c r="H225" s="14" t="s">
        <v>743</v>
      </c>
      <c r="I225" s="14"/>
      <c r="J225" s="16" t="s">
        <v>51</v>
      </c>
      <c r="K225" s="14"/>
    </row>
    <row r="226" spans="1:11" ht="42" customHeight="1">
      <c r="A226" s="17" t="s">
        <v>1391</v>
      </c>
      <c r="B226" s="18" t="s">
        <v>1300</v>
      </c>
      <c r="C226" s="18" t="s">
        <v>1392</v>
      </c>
      <c r="D226" s="19" t="s">
        <v>44</v>
      </c>
      <c r="E226" s="17" t="s">
        <v>46</v>
      </c>
      <c r="F226" s="18" t="s">
        <v>1393</v>
      </c>
      <c r="G226" s="18" t="s">
        <v>1394</v>
      </c>
      <c r="H226" s="18" t="s">
        <v>1395</v>
      </c>
      <c r="I226" s="18"/>
      <c r="J226" s="16" t="s">
        <v>51</v>
      </c>
      <c r="K226" s="18"/>
    </row>
    <row r="227" spans="1:11" ht="42" customHeight="1">
      <c r="A227" s="13" t="s">
        <v>1396</v>
      </c>
      <c r="B227" s="14" t="s">
        <v>1300</v>
      </c>
      <c r="C227" s="14" t="s">
        <v>1397</v>
      </c>
      <c r="D227" s="15" t="s">
        <v>43</v>
      </c>
      <c r="E227" s="13" t="s">
        <v>47</v>
      </c>
      <c r="F227" s="14" t="s">
        <v>1398</v>
      </c>
      <c r="G227" s="14" t="s">
        <v>1399</v>
      </c>
      <c r="H227" s="14" t="s">
        <v>753</v>
      </c>
      <c r="I227" s="14"/>
      <c r="J227" s="16" t="s">
        <v>51</v>
      </c>
      <c r="K227" s="14" t="s">
        <v>631</v>
      </c>
    </row>
    <row r="228" spans="1:11" ht="55.5" customHeight="1">
      <c r="A228" s="13" t="s">
        <v>1400</v>
      </c>
      <c r="B228" s="14" t="s">
        <v>1300</v>
      </c>
      <c r="C228" s="14" t="s">
        <v>1401</v>
      </c>
      <c r="D228" s="15" t="s">
        <v>43</v>
      </c>
      <c r="E228" s="13" t="s">
        <v>46</v>
      </c>
      <c r="F228" s="14" t="s">
        <v>1402</v>
      </c>
      <c r="G228" s="14" t="s">
        <v>1403</v>
      </c>
      <c r="H228" s="14" t="s">
        <v>1404</v>
      </c>
      <c r="I228" s="14"/>
      <c r="J228" s="16" t="s">
        <v>51</v>
      </c>
      <c r="K228" s="14"/>
    </row>
    <row r="229" spans="1:11" ht="42" customHeight="1">
      <c r="A229" s="17" t="s">
        <v>1405</v>
      </c>
      <c r="B229" s="18" t="s">
        <v>1300</v>
      </c>
      <c r="C229" s="18" t="s">
        <v>1406</v>
      </c>
      <c r="D229" s="19" t="s">
        <v>44</v>
      </c>
      <c r="E229" s="17" t="s">
        <v>46</v>
      </c>
      <c r="F229" s="18" t="s">
        <v>1407</v>
      </c>
      <c r="G229" s="18" t="s">
        <v>1408</v>
      </c>
      <c r="H229" s="18" t="s">
        <v>1409</v>
      </c>
      <c r="I229" s="18"/>
      <c r="J229" s="16" t="s">
        <v>51</v>
      </c>
      <c r="K229" s="18"/>
    </row>
    <row r="230" spans="1:11" ht="42" customHeight="1">
      <c r="A230" s="17" t="s">
        <v>1410</v>
      </c>
      <c r="B230" s="18" t="s">
        <v>1300</v>
      </c>
      <c r="C230" s="18" t="s">
        <v>1411</v>
      </c>
      <c r="D230" s="19" t="s">
        <v>44</v>
      </c>
      <c r="E230" s="17" t="s">
        <v>46</v>
      </c>
      <c r="F230" s="18" t="s">
        <v>1412</v>
      </c>
      <c r="G230" s="18" t="s">
        <v>1413</v>
      </c>
      <c r="H230" s="18" t="s">
        <v>156</v>
      </c>
      <c r="I230" s="18"/>
      <c r="J230" s="16" t="s">
        <v>51</v>
      </c>
      <c r="K230" s="18"/>
    </row>
    <row r="231" spans="1:11" ht="42" customHeight="1">
      <c r="A231" s="17" t="s">
        <v>1414</v>
      </c>
      <c r="B231" s="18" t="s">
        <v>1300</v>
      </c>
      <c r="C231" s="18" t="s">
        <v>1415</v>
      </c>
      <c r="D231" s="19" t="s">
        <v>44</v>
      </c>
      <c r="E231" s="17" t="s">
        <v>47</v>
      </c>
      <c r="F231" s="18" t="s">
        <v>1416</v>
      </c>
      <c r="G231" s="18" t="s">
        <v>1417</v>
      </c>
      <c r="H231" s="18" t="s">
        <v>630</v>
      </c>
      <c r="I231" s="18"/>
      <c r="J231" s="16" t="s">
        <v>51</v>
      </c>
      <c r="K231" s="18" t="s">
        <v>631</v>
      </c>
    </row>
    <row r="232" spans="1:11" ht="42" customHeight="1">
      <c r="A232" s="13" t="s">
        <v>1418</v>
      </c>
      <c r="B232" s="14" t="s">
        <v>1300</v>
      </c>
      <c r="C232" s="14" t="s">
        <v>1419</v>
      </c>
      <c r="D232" s="15" t="s">
        <v>43</v>
      </c>
      <c r="E232" s="13" t="s">
        <v>46</v>
      </c>
      <c r="F232" s="14" t="s">
        <v>1420</v>
      </c>
      <c r="G232" s="14" t="s">
        <v>1421</v>
      </c>
      <c r="H232" s="14" t="s">
        <v>743</v>
      </c>
      <c r="I232" s="14"/>
      <c r="J232" s="16" t="s">
        <v>51</v>
      </c>
      <c r="K232" s="14"/>
    </row>
    <row r="233" spans="1:11" ht="42" customHeight="1">
      <c r="A233" s="17" t="s">
        <v>1422</v>
      </c>
      <c r="B233" s="18" t="s">
        <v>1300</v>
      </c>
      <c r="C233" s="18" t="s">
        <v>1423</v>
      </c>
      <c r="D233" s="19" t="s">
        <v>44</v>
      </c>
      <c r="E233" s="17" t="s">
        <v>46</v>
      </c>
      <c r="F233" s="18" t="s">
        <v>1424</v>
      </c>
      <c r="G233" s="18" t="s">
        <v>1425</v>
      </c>
      <c r="H233" s="18" t="s">
        <v>1426</v>
      </c>
      <c r="I233" s="18"/>
      <c r="J233" s="16" t="s">
        <v>51</v>
      </c>
      <c r="K233" s="18"/>
    </row>
    <row r="234" spans="1:11" ht="42" customHeight="1">
      <c r="A234" s="13" t="s">
        <v>1427</v>
      </c>
      <c r="B234" s="14" t="s">
        <v>1300</v>
      </c>
      <c r="C234" s="14" t="s">
        <v>1428</v>
      </c>
      <c r="D234" s="15" t="s">
        <v>43</v>
      </c>
      <c r="E234" s="13" t="s">
        <v>47</v>
      </c>
      <c r="F234" s="14" t="s">
        <v>1429</v>
      </c>
      <c r="G234" s="14" t="s">
        <v>1430</v>
      </c>
      <c r="H234" s="14" t="s">
        <v>753</v>
      </c>
      <c r="I234" s="14"/>
      <c r="J234" s="16" t="s">
        <v>51</v>
      </c>
      <c r="K234" s="14" t="s">
        <v>631</v>
      </c>
    </row>
    <row r="235" spans="1:11" ht="69.75" customHeight="1">
      <c r="A235" s="13" t="s">
        <v>1431</v>
      </c>
      <c r="B235" s="14" t="s">
        <v>1300</v>
      </c>
      <c r="C235" s="14" t="s">
        <v>1432</v>
      </c>
      <c r="D235" s="15" t="s">
        <v>43</v>
      </c>
      <c r="E235" s="13" t="s">
        <v>45</v>
      </c>
      <c r="F235" s="14" t="s">
        <v>1433</v>
      </c>
      <c r="G235" s="14" t="s">
        <v>1434</v>
      </c>
      <c r="H235" s="14" t="s">
        <v>966</v>
      </c>
      <c r="I235" s="14"/>
      <c r="J235" s="16" t="s">
        <v>51</v>
      </c>
      <c r="K235" s="14"/>
    </row>
    <row r="236" spans="1:11" ht="27.75" customHeight="1">
      <c r="A236" s="17" t="s">
        <v>1435</v>
      </c>
      <c r="B236" s="18" t="s">
        <v>1300</v>
      </c>
      <c r="C236" s="18" t="s">
        <v>1436</v>
      </c>
      <c r="D236" s="19" t="s">
        <v>44</v>
      </c>
      <c r="E236" s="17" t="s">
        <v>45</v>
      </c>
      <c r="F236" s="18" t="s">
        <v>1437</v>
      </c>
      <c r="G236" s="18" t="s">
        <v>1438</v>
      </c>
      <c r="H236" s="18" t="s">
        <v>1439</v>
      </c>
      <c r="I236" s="18"/>
      <c r="J236" s="16" t="s">
        <v>51</v>
      </c>
      <c r="K236" s="18"/>
    </row>
    <row r="237" spans="1:11" ht="55.5" customHeight="1">
      <c r="A237" s="17" t="s">
        <v>1440</v>
      </c>
      <c r="B237" s="18" t="s">
        <v>1300</v>
      </c>
      <c r="C237" s="18" t="s">
        <v>1441</v>
      </c>
      <c r="D237" s="19" t="s">
        <v>44</v>
      </c>
      <c r="E237" s="17" t="s">
        <v>45</v>
      </c>
      <c r="F237" s="18" t="s">
        <v>1442</v>
      </c>
      <c r="G237" s="18" t="s">
        <v>1005</v>
      </c>
      <c r="H237" s="18" t="s">
        <v>976</v>
      </c>
      <c r="I237" s="18"/>
      <c r="J237" s="16" t="s">
        <v>51</v>
      </c>
      <c r="K237" s="18"/>
    </row>
    <row r="238" spans="1:11" ht="42" customHeight="1">
      <c r="A238" s="17" t="s">
        <v>1443</v>
      </c>
      <c r="B238" s="18" t="s">
        <v>1300</v>
      </c>
      <c r="C238" s="18" t="s">
        <v>1444</v>
      </c>
      <c r="D238" s="19" t="s">
        <v>44</v>
      </c>
      <c r="E238" s="17" t="s">
        <v>46</v>
      </c>
      <c r="F238" s="18" t="s">
        <v>1445</v>
      </c>
      <c r="G238" s="18" t="s">
        <v>980</v>
      </c>
      <c r="H238" s="18" t="s">
        <v>1446</v>
      </c>
      <c r="I238" s="18"/>
      <c r="J238" s="16" t="s">
        <v>51</v>
      </c>
      <c r="K238" s="18"/>
    </row>
    <row r="239" spans="1:11" ht="27.75" customHeight="1">
      <c r="A239" s="17" t="s">
        <v>1447</v>
      </c>
      <c r="B239" s="18" t="s">
        <v>1300</v>
      </c>
      <c r="C239" s="18" t="s">
        <v>1448</v>
      </c>
      <c r="D239" s="19" t="s">
        <v>44</v>
      </c>
      <c r="E239" s="17" t="s">
        <v>46</v>
      </c>
      <c r="F239" s="18" t="s">
        <v>1449</v>
      </c>
      <c r="G239" s="18" t="s">
        <v>1450</v>
      </c>
      <c r="H239" s="18" t="s">
        <v>986</v>
      </c>
      <c r="I239" s="18"/>
      <c r="J239" s="16" t="s">
        <v>51</v>
      </c>
      <c r="K239" s="18"/>
    </row>
    <row r="240" spans="1:11" ht="42" customHeight="1">
      <c r="A240" s="17" t="s">
        <v>1451</v>
      </c>
      <c r="B240" s="18" t="s">
        <v>1300</v>
      </c>
      <c r="C240" s="18" t="s">
        <v>1452</v>
      </c>
      <c r="D240" s="19" t="s">
        <v>44</v>
      </c>
      <c r="E240" s="17" t="s">
        <v>46</v>
      </c>
      <c r="F240" s="18" t="s">
        <v>1453</v>
      </c>
      <c r="G240" s="18" t="s">
        <v>1454</v>
      </c>
      <c r="H240" s="18" t="s">
        <v>991</v>
      </c>
      <c r="I240" s="18"/>
      <c r="J240" s="16" t="s">
        <v>51</v>
      </c>
      <c r="K240" s="18"/>
    </row>
    <row r="241" spans="1:11" ht="69.75" customHeight="1">
      <c r="A241" s="13" t="s">
        <v>1455</v>
      </c>
      <c r="B241" s="14" t="s">
        <v>1300</v>
      </c>
      <c r="C241" s="14" t="s">
        <v>1456</v>
      </c>
      <c r="D241" s="15" t="s">
        <v>43</v>
      </c>
      <c r="E241" s="13" t="s">
        <v>46</v>
      </c>
      <c r="F241" s="14" t="s">
        <v>1457</v>
      </c>
      <c r="G241" s="14" t="s">
        <v>1458</v>
      </c>
      <c r="H241" s="14" t="s">
        <v>1459</v>
      </c>
      <c r="I241" s="14"/>
      <c r="J241" s="16" t="s">
        <v>51</v>
      </c>
      <c r="K241" s="14"/>
    </row>
    <row r="242" spans="1:11" ht="42" customHeight="1">
      <c r="A242" s="17" t="s">
        <v>1460</v>
      </c>
      <c r="B242" s="18" t="s">
        <v>1300</v>
      </c>
      <c r="C242" s="18" t="s">
        <v>1461</v>
      </c>
      <c r="D242" s="19" t="s">
        <v>44</v>
      </c>
      <c r="E242" s="17" t="s">
        <v>45</v>
      </c>
      <c r="F242" s="18" t="s">
        <v>1462</v>
      </c>
      <c r="G242" s="18" t="s">
        <v>1463</v>
      </c>
      <c r="H242" s="18" t="s">
        <v>1464</v>
      </c>
      <c r="I242" s="18"/>
      <c r="J242" s="16" t="s">
        <v>51</v>
      </c>
      <c r="K242" s="18"/>
    </row>
    <row r="243" spans="1:11" ht="42" customHeight="1">
      <c r="A243" s="17" t="s">
        <v>1465</v>
      </c>
      <c r="B243" s="18" t="s">
        <v>1300</v>
      </c>
      <c r="C243" s="18" t="s">
        <v>1466</v>
      </c>
      <c r="D243" s="19" t="s">
        <v>44</v>
      </c>
      <c r="E243" s="17" t="s">
        <v>46</v>
      </c>
      <c r="F243" s="18" t="s">
        <v>1467</v>
      </c>
      <c r="G243" s="18" t="s">
        <v>1468</v>
      </c>
      <c r="H243" s="18" t="s">
        <v>1469</v>
      </c>
      <c r="I243" s="18"/>
      <c r="J243" s="16" t="s">
        <v>51</v>
      </c>
      <c r="K243" s="18" t="s">
        <v>631</v>
      </c>
    </row>
    <row r="244" spans="1:11" ht="19.5" customHeight="1">
      <c r="A244" s="22" t="s">
        <v>4869</v>
      </c>
      <c r="B244" s="23"/>
      <c r="C244" s="23"/>
      <c r="D244" s="23"/>
      <c r="E244" s="23"/>
      <c r="F244" s="23"/>
      <c r="G244" s="23"/>
      <c r="H244" s="23"/>
      <c r="I244" s="23"/>
      <c r="J244" s="23"/>
      <c r="K244" s="23"/>
    </row>
    <row r="245" spans="1:11" ht="42" customHeight="1">
      <c r="A245" s="13" t="s">
        <v>1470</v>
      </c>
      <c r="B245" s="14" t="s">
        <v>1471</v>
      </c>
      <c r="C245" s="14" t="s">
        <v>1472</v>
      </c>
      <c r="D245" s="15" t="s">
        <v>43</v>
      </c>
      <c r="E245" s="13" t="s">
        <v>46</v>
      </c>
      <c r="F245" s="14" t="s">
        <v>1473</v>
      </c>
      <c r="G245" s="14" t="s">
        <v>1474</v>
      </c>
      <c r="H245" s="14" t="s">
        <v>743</v>
      </c>
      <c r="I245" s="14"/>
      <c r="J245" s="16" t="s">
        <v>51</v>
      </c>
      <c r="K245" s="14"/>
    </row>
    <row r="246" spans="1:11" ht="42" customHeight="1">
      <c r="A246" s="17" t="s">
        <v>1475</v>
      </c>
      <c r="B246" s="18" t="s">
        <v>1471</v>
      </c>
      <c r="C246" s="18" t="s">
        <v>1476</v>
      </c>
      <c r="D246" s="19" t="s">
        <v>44</v>
      </c>
      <c r="E246" s="17" t="s">
        <v>46</v>
      </c>
      <c r="F246" s="18" t="s">
        <v>1477</v>
      </c>
      <c r="G246" s="18" t="s">
        <v>1478</v>
      </c>
      <c r="H246" s="18" t="s">
        <v>1479</v>
      </c>
      <c r="I246" s="18"/>
      <c r="J246" s="16" t="s">
        <v>51</v>
      </c>
      <c r="K246" s="18"/>
    </row>
    <row r="247" spans="1:11" ht="42" customHeight="1">
      <c r="A247" s="13" t="s">
        <v>1480</v>
      </c>
      <c r="B247" s="14" t="s">
        <v>1471</v>
      </c>
      <c r="C247" s="14" t="s">
        <v>1481</v>
      </c>
      <c r="D247" s="15" t="s">
        <v>43</v>
      </c>
      <c r="E247" s="13" t="s">
        <v>47</v>
      </c>
      <c r="F247" s="14" t="s">
        <v>1482</v>
      </c>
      <c r="G247" s="14" t="s">
        <v>1483</v>
      </c>
      <c r="H247" s="14" t="s">
        <v>753</v>
      </c>
      <c r="I247" s="14"/>
      <c r="J247" s="16" t="s">
        <v>51</v>
      </c>
      <c r="K247" s="14" t="s">
        <v>631</v>
      </c>
    </row>
    <row r="248" spans="1:11" ht="42" customHeight="1">
      <c r="A248" s="13" t="s">
        <v>1484</v>
      </c>
      <c r="B248" s="14" t="s">
        <v>1471</v>
      </c>
      <c r="C248" s="14" t="s">
        <v>1485</v>
      </c>
      <c r="D248" s="15" t="s">
        <v>43</v>
      </c>
      <c r="E248" s="13" t="s">
        <v>46</v>
      </c>
      <c r="F248" s="14" t="s">
        <v>756</v>
      </c>
      <c r="G248" s="14" t="s">
        <v>1486</v>
      </c>
      <c r="H248" s="14" t="s">
        <v>758</v>
      </c>
      <c r="I248" s="14"/>
      <c r="J248" s="16" t="s">
        <v>51</v>
      </c>
      <c r="K248" s="14"/>
    </row>
    <row r="249" spans="1:11" ht="27.75" customHeight="1">
      <c r="A249" s="17" t="s">
        <v>1487</v>
      </c>
      <c r="B249" s="18" t="s">
        <v>1471</v>
      </c>
      <c r="C249" s="18" t="s">
        <v>1488</v>
      </c>
      <c r="D249" s="19" t="s">
        <v>44</v>
      </c>
      <c r="E249" s="17" t="s">
        <v>46</v>
      </c>
      <c r="F249" s="18" t="s">
        <v>1489</v>
      </c>
      <c r="G249" s="18" t="s">
        <v>1490</v>
      </c>
      <c r="H249" s="18" t="s">
        <v>1491</v>
      </c>
      <c r="I249" s="18"/>
      <c r="J249" s="16" t="s">
        <v>51</v>
      </c>
      <c r="K249" s="18"/>
    </row>
    <row r="250" spans="1:11" ht="42" customHeight="1">
      <c r="A250" s="17" t="s">
        <v>1492</v>
      </c>
      <c r="B250" s="18" t="s">
        <v>1471</v>
      </c>
      <c r="C250" s="18" t="s">
        <v>1493</v>
      </c>
      <c r="D250" s="19" t="s">
        <v>44</v>
      </c>
      <c r="E250" s="17" t="s">
        <v>46</v>
      </c>
      <c r="F250" s="18" t="s">
        <v>766</v>
      </c>
      <c r="G250" s="18" t="s">
        <v>1494</v>
      </c>
      <c r="H250" s="18" t="s">
        <v>768</v>
      </c>
      <c r="I250" s="18"/>
      <c r="J250" s="16" t="s">
        <v>51</v>
      </c>
      <c r="K250" s="18"/>
    </row>
    <row r="251" spans="1:11" ht="69.75" customHeight="1">
      <c r="A251" s="13" t="s">
        <v>1495</v>
      </c>
      <c r="B251" s="14" t="s">
        <v>1471</v>
      </c>
      <c r="C251" s="14" t="s">
        <v>1496</v>
      </c>
      <c r="D251" s="15" t="s">
        <v>43</v>
      </c>
      <c r="E251" s="13" t="s">
        <v>46</v>
      </c>
      <c r="F251" s="14" t="s">
        <v>1497</v>
      </c>
      <c r="G251" s="14" t="s">
        <v>1498</v>
      </c>
      <c r="H251" s="14" t="s">
        <v>1499</v>
      </c>
      <c r="I251" s="14"/>
      <c r="J251" s="16" t="s">
        <v>51</v>
      </c>
      <c r="K251" s="14" t="s">
        <v>631</v>
      </c>
    </row>
    <row r="252" spans="1:11" ht="69.75" customHeight="1">
      <c r="A252" s="13" t="s">
        <v>1500</v>
      </c>
      <c r="B252" s="14" t="s">
        <v>1471</v>
      </c>
      <c r="C252" s="14" t="s">
        <v>1501</v>
      </c>
      <c r="D252" s="15" t="s">
        <v>43</v>
      </c>
      <c r="E252" s="13" t="s">
        <v>46</v>
      </c>
      <c r="F252" s="14" t="s">
        <v>1502</v>
      </c>
      <c r="G252" s="14" t="s">
        <v>1503</v>
      </c>
      <c r="H252" s="14" t="s">
        <v>1504</v>
      </c>
      <c r="I252" s="14"/>
      <c r="J252" s="16" t="s">
        <v>51</v>
      </c>
      <c r="K252" s="14"/>
    </row>
    <row r="253" spans="1:11" ht="27.75" customHeight="1">
      <c r="A253" s="17" t="s">
        <v>1505</v>
      </c>
      <c r="B253" s="18" t="s">
        <v>1471</v>
      </c>
      <c r="C253" s="18" t="s">
        <v>1506</v>
      </c>
      <c r="D253" s="19" t="s">
        <v>44</v>
      </c>
      <c r="E253" s="17" t="s">
        <v>46</v>
      </c>
      <c r="F253" s="18" t="s">
        <v>1507</v>
      </c>
      <c r="G253" s="18" t="s">
        <v>1508</v>
      </c>
      <c r="H253" s="18" t="s">
        <v>1509</v>
      </c>
      <c r="I253" s="18"/>
      <c r="J253" s="16" t="s">
        <v>51</v>
      </c>
      <c r="K253" s="18"/>
    </row>
    <row r="254" spans="1:11" ht="55.5" customHeight="1">
      <c r="A254" s="17" t="s">
        <v>1510</v>
      </c>
      <c r="B254" s="18" t="s">
        <v>1471</v>
      </c>
      <c r="C254" s="18" t="s">
        <v>1511</v>
      </c>
      <c r="D254" s="19" t="s">
        <v>44</v>
      </c>
      <c r="E254" s="17" t="s">
        <v>46</v>
      </c>
      <c r="F254" s="18" t="s">
        <v>1512</v>
      </c>
      <c r="G254" s="18" t="s">
        <v>1513</v>
      </c>
      <c r="H254" s="18" t="s">
        <v>1514</v>
      </c>
      <c r="I254" s="18"/>
      <c r="J254" s="16" t="s">
        <v>51</v>
      </c>
      <c r="K254" s="18" t="s">
        <v>631</v>
      </c>
    </row>
    <row r="255" spans="1:11" ht="55.5" customHeight="1">
      <c r="A255" s="17" t="s">
        <v>1515</v>
      </c>
      <c r="B255" s="18" t="s">
        <v>1471</v>
      </c>
      <c r="C255" s="18" t="s">
        <v>1516</v>
      </c>
      <c r="D255" s="19" t="s">
        <v>44</v>
      </c>
      <c r="E255" s="17" t="s">
        <v>47</v>
      </c>
      <c r="F255" s="18" t="s">
        <v>1517</v>
      </c>
      <c r="G255" s="18" t="s">
        <v>1518</v>
      </c>
      <c r="H255" s="18" t="s">
        <v>651</v>
      </c>
      <c r="I255" s="18"/>
      <c r="J255" s="16" t="s">
        <v>51</v>
      </c>
      <c r="K255" s="18" t="s">
        <v>631</v>
      </c>
    </row>
    <row r="256" spans="1:11" ht="84" customHeight="1">
      <c r="A256" s="13" t="s">
        <v>1519</v>
      </c>
      <c r="B256" s="14" t="s">
        <v>1471</v>
      </c>
      <c r="C256" s="14" t="s">
        <v>1520</v>
      </c>
      <c r="D256" s="15" t="s">
        <v>43</v>
      </c>
      <c r="E256" s="13" t="s">
        <v>45</v>
      </c>
      <c r="F256" s="14" t="s">
        <v>1521</v>
      </c>
      <c r="G256" s="14" t="s">
        <v>1522</v>
      </c>
      <c r="H256" s="14" t="s">
        <v>966</v>
      </c>
      <c r="I256" s="14"/>
      <c r="J256" s="16" t="s">
        <v>51</v>
      </c>
      <c r="K256" s="14"/>
    </row>
    <row r="257" spans="1:11" ht="27.75" customHeight="1">
      <c r="A257" s="17" t="s">
        <v>1523</v>
      </c>
      <c r="B257" s="18" t="s">
        <v>1471</v>
      </c>
      <c r="C257" s="18" t="s">
        <v>1524</v>
      </c>
      <c r="D257" s="19" t="s">
        <v>44</v>
      </c>
      <c r="E257" s="17" t="s">
        <v>45</v>
      </c>
      <c r="F257" s="18" t="s">
        <v>1525</v>
      </c>
      <c r="G257" s="18" t="s">
        <v>1526</v>
      </c>
      <c r="H257" s="18" t="s">
        <v>1527</v>
      </c>
      <c r="I257" s="18"/>
      <c r="J257" s="16" t="s">
        <v>51</v>
      </c>
      <c r="K257" s="18"/>
    </row>
    <row r="258" spans="1:11" ht="55.5" customHeight="1">
      <c r="A258" s="17" t="s">
        <v>1528</v>
      </c>
      <c r="B258" s="18" t="s">
        <v>1471</v>
      </c>
      <c r="C258" s="18" t="s">
        <v>1529</v>
      </c>
      <c r="D258" s="19" t="s">
        <v>44</v>
      </c>
      <c r="E258" s="17" t="s">
        <v>45</v>
      </c>
      <c r="F258" s="18" t="s">
        <v>1530</v>
      </c>
      <c r="G258" s="18" t="s">
        <v>1005</v>
      </c>
      <c r="H258" s="18" t="s">
        <v>976</v>
      </c>
      <c r="I258" s="18"/>
      <c r="J258" s="16" t="s">
        <v>51</v>
      </c>
      <c r="K258" s="18"/>
    </row>
    <row r="259" spans="1:11" ht="42" customHeight="1">
      <c r="A259" s="17" t="s">
        <v>1531</v>
      </c>
      <c r="B259" s="18" t="s">
        <v>1471</v>
      </c>
      <c r="C259" s="18" t="s">
        <v>1532</v>
      </c>
      <c r="D259" s="19" t="s">
        <v>44</v>
      </c>
      <c r="E259" s="17" t="s">
        <v>46</v>
      </c>
      <c r="F259" s="18" t="s">
        <v>1533</v>
      </c>
      <c r="G259" s="18" t="s">
        <v>980</v>
      </c>
      <c r="H259" s="18" t="s">
        <v>1534</v>
      </c>
      <c r="I259" s="18"/>
      <c r="J259" s="16" t="s">
        <v>51</v>
      </c>
      <c r="K259" s="18"/>
    </row>
    <row r="260" spans="1:11" ht="27.75" customHeight="1">
      <c r="A260" s="17" t="s">
        <v>1535</v>
      </c>
      <c r="B260" s="18" t="s">
        <v>1471</v>
      </c>
      <c r="C260" s="18" t="s">
        <v>1536</v>
      </c>
      <c r="D260" s="19" t="s">
        <v>44</v>
      </c>
      <c r="E260" s="17" t="s">
        <v>46</v>
      </c>
      <c r="F260" s="18" t="s">
        <v>1537</v>
      </c>
      <c r="G260" s="18" t="s">
        <v>1538</v>
      </c>
      <c r="H260" s="18" t="s">
        <v>986</v>
      </c>
      <c r="I260" s="18"/>
      <c r="J260" s="16" t="s">
        <v>51</v>
      </c>
      <c r="K260" s="18"/>
    </row>
    <row r="261" spans="1:11" ht="42" customHeight="1">
      <c r="A261" s="17" t="s">
        <v>1539</v>
      </c>
      <c r="B261" s="18" t="s">
        <v>1471</v>
      </c>
      <c r="C261" s="18" t="s">
        <v>1540</v>
      </c>
      <c r="D261" s="19" t="s">
        <v>44</v>
      </c>
      <c r="E261" s="17" t="s">
        <v>46</v>
      </c>
      <c r="F261" s="18" t="s">
        <v>1541</v>
      </c>
      <c r="G261" s="18" t="s">
        <v>1542</v>
      </c>
      <c r="H261" s="18" t="s">
        <v>991</v>
      </c>
      <c r="I261" s="18"/>
      <c r="J261" s="16" t="s">
        <v>51</v>
      </c>
      <c r="K261" s="18"/>
    </row>
    <row r="262" spans="1:11" ht="55.5" customHeight="1">
      <c r="A262" s="13" t="s">
        <v>1543</v>
      </c>
      <c r="B262" s="14" t="s">
        <v>1471</v>
      </c>
      <c r="C262" s="14" t="s">
        <v>1544</v>
      </c>
      <c r="D262" s="15" t="s">
        <v>43</v>
      </c>
      <c r="E262" s="13" t="s">
        <v>46</v>
      </c>
      <c r="F262" s="14" t="s">
        <v>1545</v>
      </c>
      <c r="G262" s="14" t="s">
        <v>1546</v>
      </c>
      <c r="H262" s="14" t="s">
        <v>1547</v>
      </c>
      <c r="I262" s="14"/>
      <c r="J262" s="16" t="s">
        <v>51</v>
      </c>
      <c r="K262" s="14"/>
    </row>
    <row r="263" spans="1:11" ht="19.5" customHeight="1">
      <c r="A263" s="22" t="s">
        <v>4870</v>
      </c>
      <c r="B263" s="23"/>
      <c r="C263" s="23"/>
      <c r="D263" s="23"/>
      <c r="E263" s="23"/>
      <c r="F263" s="23"/>
      <c r="G263" s="23"/>
      <c r="H263" s="23"/>
      <c r="I263" s="23"/>
      <c r="J263" s="23"/>
      <c r="K263" s="23"/>
    </row>
    <row r="264" spans="1:11" ht="69.75" customHeight="1">
      <c r="A264" s="13" t="s">
        <v>1548</v>
      </c>
      <c r="B264" s="14" t="s">
        <v>1549</v>
      </c>
      <c r="C264" s="14" t="s">
        <v>1550</v>
      </c>
      <c r="D264" s="15" t="s">
        <v>43</v>
      </c>
      <c r="E264" s="13" t="s">
        <v>45</v>
      </c>
      <c r="F264" s="14" t="s">
        <v>1551</v>
      </c>
      <c r="G264" s="14" t="s">
        <v>1552</v>
      </c>
      <c r="H264" s="14" t="s">
        <v>966</v>
      </c>
      <c r="I264" s="14"/>
      <c r="J264" s="16" t="s">
        <v>51</v>
      </c>
      <c r="K264" s="14" t="s">
        <v>631</v>
      </c>
    </row>
    <row r="265" spans="1:11" ht="55.5" customHeight="1">
      <c r="A265" s="17" t="s">
        <v>1553</v>
      </c>
      <c r="B265" s="18" t="s">
        <v>1549</v>
      </c>
      <c r="C265" s="18" t="s">
        <v>1554</v>
      </c>
      <c r="D265" s="19" t="s">
        <v>44</v>
      </c>
      <c r="E265" s="17" t="s">
        <v>45</v>
      </c>
      <c r="F265" s="18" t="s">
        <v>1555</v>
      </c>
      <c r="G265" s="18" t="s">
        <v>1005</v>
      </c>
      <c r="H265" s="18" t="s">
        <v>976</v>
      </c>
      <c r="I265" s="18"/>
      <c r="J265" s="16" t="s">
        <v>51</v>
      </c>
      <c r="K265" s="18"/>
    </row>
    <row r="266" spans="1:11" ht="55.5" customHeight="1">
      <c r="A266" s="17" t="s">
        <v>1556</v>
      </c>
      <c r="B266" s="18" t="s">
        <v>1549</v>
      </c>
      <c r="C266" s="18" t="s">
        <v>1557</v>
      </c>
      <c r="D266" s="19" t="s">
        <v>44</v>
      </c>
      <c r="E266" s="17" t="s">
        <v>46</v>
      </c>
      <c r="F266" s="18" t="s">
        <v>1558</v>
      </c>
      <c r="G266" s="18" t="s">
        <v>980</v>
      </c>
      <c r="H266" s="18" t="s">
        <v>1559</v>
      </c>
      <c r="I266" s="18"/>
      <c r="J266" s="16" t="s">
        <v>51</v>
      </c>
      <c r="K266" s="18"/>
    </row>
    <row r="267" spans="1:11" ht="42" customHeight="1">
      <c r="A267" s="17" t="s">
        <v>1560</v>
      </c>
      <c r="B267" s="18" t="s">
        <v>1549</v>
      </c>
      <c r="C267" s="18" t="s">
        <v>1561</v>
      </c>
      <c r="D267" s="19" t="s">
        <v>44</v>
      </c>
      <c r="E267" s="17" t="s">
        <v>46</v>
      </c>
      <c r="F267" s="18" t="s">
        <v>1562</v>
      </c>
      <c r="G267" s="18" t="s">
        <v>1563</v>
      </c>
      <c r="H267" s="18" t="s">
        <v>986</v>
      </c>
      <c r="I267" s="18"/>
      <c r="J267" s="16" t="s">
        <v>51</v>
      </c>
      <c r="K267" s="18"/>
    </row>
    <row r="268" spans="1:11" ht="42" customHeight="1">
      <c r="A268" s="17" t="s">
        <v>1564</v>
      </c>
      <c r="B268" s="18" t="s">
        <v>1549</v>
      </c>
      <c r="C268" s="18" t="s">
        <v>1565</v>
      </c>
      <c r="D268" s="19" t="s">
        <v>44</v>
      </c>
      <c r="E268" s="17" t="s">
        <v>46</v>
      </c>
      <c r="F268" s="18" t="s">
        <v>1566</v>
      </c>
      <c r="G268" s="18" t="s">
        <v>1567</v>
      </c>
      <c r="H268" s="18" t="s">
        <v>991</v>
      </c>
      <c r="I268" s="18"/>
      <c r="J268" s="16" t="s">
        <v>51</v>
      </c>
      <c r="K268" s="18"/>
    </row>
    <row r="269" spans="1:11" ht="69.75" customHeight="1">
      <c r="A269" s="13" t="s">
        <v>1568</v>
      </c>
      <c r="B269" s="14" t="s">
        <v>1549</v>
      </c>
      <c r="C269" s="14" t="s">
        <v>1569</v>
      </c>
      <c r="D269" s="15" t="s">
        <v>43</v>
      </c>
      <c r="E269" s="13" t="s">
        <v>45</v>
      </c>
      <c r="F269" s="14" t="s">
        <v>1570</v>
      </c>
      <c r="G269" s="14" t="s">
        <v>1571</v>
      </c>
      <c r="H269" s="14" t="s">
        <v>966</v>
      </c>
      <c r="I269" s="14"/>
      <c r="J269" s="16" t="s">
        <v>51</v>
      </c>
      <c r="K269" s="14" t="s">
        <v>631</v>
      </c>
    </row>
    <row r="270" spans="1:11" ht="55.5" customHeight="1">
      <c r="A270" s="17" t="s">
        <v>1572</v>
      </c>
      <c r="B270" s="18" t="s">
        <v>1549</v>
      </c>
      <c r="C270" s="18" t="s">
        <v>1573</v>
      </c>
      <c r="D270" s="19" t="s">
        <v>44</v>
      </c>
      <c r="E270" s="17" t="s">
        <v>45</v>
      </c>
      <c r="F270" s="18" t="s">
        <v>1574</v>
      </c>
      <c r="G270" s="18" t="s">
        <v>1575</v>
      </c>
      <c r="H270" s="18" t="s">
        <v>976</v>
      </c>
      <c r="I270" s="18"/>
      <c r="J270" s="16" t="s">
        <v>51</v>
      </c>
      <c r="K270" s="18"/>
    </row>
    <row r="271" spans="1:11" ht="55.5" customHeight="1">
      <c r="A271" s="17" t="s">
        <v>1576</v>
      </c>
      <c r="B271" s="18" t="s">
        <v>1549</v>
      </c>
      <c r="C271" s="18" t="s">
        <v>1577</v>
      </c>
      <c r="D271" s="19" t="s">
        <v>44</v>
      </c>
      <c r="E271" s="17" t="s">
        <v>46</v>
      </c>
      <c r="F271" s="18" t="s">
        <v>1578</v>
      </c>
      <c r="G271" s="18" t="s">
        <v>980</v>
      </c>
      <c r="H271" s="18" t="s">
        <v>1579</v>
      </c>
      <c r="I271" s="18"/>
      <c r="J271" s="16" t="s">
        <v>51</v>
      </c>
      <c r="K271" s="18"/>
    </row>
    <row r="272" spans="1:11" ht="42" customHeight="1">
      <c r="A272" s="17" t="s">
        <v>1580</v>
      </c>
      <c r="B272" s="18" t="s">
        <v>1549</v>
      </c>
      <c r="C272" s="18" t="s">
        <v>1581</v>
      </c>
      <c r="D272" s="19" t="s">
        <v>44</v>
      </c>
      <c r="E272" s="17" t="s">
        <v>46</v>
      </c>
      <c r="F272" s="18" t="s">
        <v>1582</v>
      </c>
      <c r="G272" s="18" t="s">
        <v>1583</v>
      </c>
      <c r="H272" s="18" t="s">
        <v>986</v>
      </c>
      <c r="I272" s="18"/>
      <c r="J272" s="16" t="s">
        <v>51</v>
      </c>
      <c r="K272" s="18"/>
    </row>
    <row r="273" spans="1:11" ht="42" customHeight="1">
      <c r="A273" s="17" t="s">
        <v>1584</v>
      </c>
      <c r="B273" s="18" t="s">
        <v>1549</v>
      </c>
      <c r="C273" s="18" t="s">
        <v>1585</v>
      </c>
      <c r="D273" s="19" t="s">
        <v>44</v>
      </c>
      <c r="E273" s="17" t="s">
        <v>46</v>
      </c>
      <c r="F273" s="18" t="s">
        <v>1586</v>
      </c>
      <c r="G273" s="18" t="s">
        <v>1587</v>
      </c>
      <c r="H273" s="18" t="s">
        <v>991</v>
      </c>
      <c r="I273" s="18"/>
      <c r="J273" s="16" t="s">
        <v>51</v>
      </c>
      <c r="K273" s="18"/>
    </row>
    <row r="274" spans="1:11" ht="55.5" customHeight="1">
      <c r="A274" s="17" t="s">
        <v>1588</v>
      </c>
      <c r="B274" s="18" t="s">
        <v>1549</v>
      </c>
      <c r="C274" s="18" t="s">
        <v>1589</v>
      </c>
      <c r="D274" s="19" t="s">
        <v>44</v>
      </c>
      <c r="E274" s="17" t="s">
        <v>46</v>
      </c>
      <c r="F274" s="18" t="s">
        <v>1590</v>
      </c>
      <c r="G274" s="18" t="s">
        <v>1591</v>
      </c>
      <c r="H274" s="18" t="s">
        <v>1592</v>
      </c>
      <c r="I274" s="18"/>
      <c r="J274" s="16" t="s">
        <v>51</v>
      </c>
      <c r="K274" s="18"/>
    </row>
    <row r="275" spans="1:11" ht="19.5" customHeight="1">
      <c r="A275" s="22" t="s">
        <v>4871</v>
      </c>
      <c r="B275" s="23"/>
      <c r="C275" s="23"/>
      <c r="D275" s="23"/>
      <c r="E275" s="23"/>
      <c r="F275" s="23"/>
      <c r="G275" s="23"/>
      <c r="H275" s="23"/>
      <c r="I275" s="23"/>
      <c r="J275" s="23"/>
      <c r="K275" s="23"/>
    </row>
    <row r="276" spans="1:11" ht="55.5" customHeight="1">
      <c r="A276" s="13" t="s">
        <v>1593</v>
      </c>
      <c r="B276" s="14" t="s">
        <v>1594</v>
      </c>
      <c r="C276" s="14" t="s">
        <v>1595</v>
      </c>
      <c r="D276" s="15" t="s">
        <v>43</v>
      </c>
      <c r="E276" s="13" t="s">
        <v>45</v>
      </c>
      <c r="F276" s="14" t="s">
        <v>1596</v>
      </c>
      <c r="G276" s="14" t="s">
        <v>109</v>
      </c>
      <c r="H276" s="14" t="s">
        <v>1597</v>
      </c>
      <c r="I276" s="14"/>
      <c r="J276" s="16" t="s">
        <v>51</v>
      </c>
      <c r="K276" s="14"/>
    </row>
    <row r="277" spans="1:11" ht="42" customHeight="1">
      <c r="A277" s="17" t="s">
        <v>1598</v>
      </c>
      <c r="B277" s="18" t="s">
        <v>1594</v>
      </c>
      <c r="C277" s="18" t="s">
        <v>1599</v>
      </c>
      <c r="D277" s="19" t="s">
        <v>44</v>
      </c>
      <c r="E277" s="17" t="s">
        <v>45</v>
      </c>
      <c r="F277" s="18" t="s">
        <v>1600</v>
      </c>
      <c r="G277" s="18" t="s">
        <v>109</v>
      </c>
      <c r="H277" s="18" t="s">
        <v>1601</v>
      </c>
      <c r="I277" s="18"/>
      <c r="J277" s="16" t="s">
        <v>51</v>
      </c>
      <c r="K277" s="18"/>
    </row>
    <row r="278" spans="1:11" ht="27.75" customHeight="1">
      <c r="A278" s="13" t="s">
        <v>1602</v>
      </c>
      <c r="B278" s="14" t="s">
        <v>1594</v>
      </c>
      <c r="C278" s="14" t="s">
        <v>1603</v>
      </c>
      <c r="D278" s="15" t="s">
        <v>43</v>
      </c>
      <c r="E278" s="13" t="s">
        <v>46</v>
      </c>
      <c r="F278" s="14" t="s">
        <v>1604</v>
      </c>
      <c r="G278" s="14" t="s">
        <v>109</v>
      </c>
      <c r="H278" s="14" t="s">
        <v>1605</v>
      </c>
      <c r="I278" s="14"/>
      <c r="J278" s="16" t="s">
        <v>51</v>
      </c>
      <c r="K278" s="14"/>
    </row>
    <row r="279" spans="1:11" ht="42" customHeight="1">
      <c r="A279" s="17" t="s">
        <v>1606</v>
      </c>
      <c r="B279" s="18" t="s">
        <v>1594</v>
      </c>
      <c r="C279" s="18" t="s">
        <v>1607</v>
      </c>
      <c r="D279" s="19" t="s">
        <v>44</v>
      </c>
      <c r="E279" s="17" t="s">
        <v>46</v>
      </c>
      <c r="F279" s="18" t="s">
        <v>1608</v>
      </c>
      <c r="G279" s="18" t="s">
        <v>109</v>
      </c>
      <c r="H279" s="18" t="s">
        <v>1609</v>
      </c>
      <c r="I279" s="18"/>
      <c r="J279" s="16" t="s">
        <v>51</v>
      </c>
      <c r="K279" s="18"/>
    </row>
    <row r="280" spans="1:11" ht="19.5" customHeight="1">
      <c r="A280" s="22" t="s">
        <v>4872</v>
      </c>
      <c r="B280" s="23"/>
      <c r="C280" s="23"/>
      <c r="D280" s="23"/>
      <c r="E280" s="23"/>
      <c r="F280" s="23"/>
      <c r="G280" s="23"/>
      <c r="H280" s="23"/>
      <c r="I280" s="23"/>
      <c r="J280" s="23"/>
      <c r="K280" s="23"/>
    </row>
    <row r="281" spans="1:11" ht="69.75" customHeight="1">
      <c r="A281" s="13" t="s">
        <v>1610</v>
      </c>
      <c r="B281" s="14" t="s">
        <v>1611</v>
      </c>
      <c r="C281" s="14" t="s">
        <v>1612</v>
      </c>
      <c r="D281" s="15" t="s">
        <v>43</v>
      </c>
      <c r="E281" s="13" t="s">
        <v>45</v>
      </c>
      <c r="F281" s="14" t="s">
        <v>1613</v>
      </c>
      <c r="G281" s="14" t="s">
        <v>1614</v>
      </c>
      <c r="H281" s="14" t="s">
        <v>1615</v>
      </c>
      <c r="I281" s="14"/>
      <c r="J281" s="16" t="s">
        <v>51</v>
      </c>
      <c r="K281" s="14" t="s">
        <v>1616</v>
      </c>
    </row>
    <row r="282" spans="1:11" ht="42" customHeight="1">
      <c r="A282" s="17" t="s">
        <v>1617</v>
      </c>
      <c r="B282" s="18" t="s">
        <v>1611</v>
      </c>
      <c r="C282" s="18" t="s">
        <v>1618</v>
      </c>
      <c r="D282" s="19" t="s">
        <v>44</v>
      </c>
      <c r="E282" s="17" t="s">
        <v>45</v>
      </c>
      <c r="F282" s="18" t="s">
        <v>1619</v>
      </c>
      <c r="G282" s="18" t="s">
        <v>1620</v>
      </c>
      <c r="H282" s="18" t="s">
        <v>1621</v>
      </c>
      <c r="I282" s="18"/>
      <c r="J282" s="16" t="s">
        <v>51</v>
      </c>
      <c r="K282" s="18" t="s">
        <v>631</v>
      </c>
    </row>
    <row r="283" spans="1:11" ht="42" customHeight="1">
      <c r="A283" s="13" t="s">
        <v>1622</v>
      </c>
      <c r="B283" s="14" t="s">
        <v>1611</v>
      </c>
      <c r="C283" s="14" t="s">
        <v>1623</v>
      </c>
      <c r="D283" s="15" t="s">
        <v>43</v>
      </c>
      <c r="E283" s="13" t="s">
        <v>47</v>
      </c>
      <c r="F283" s="14" t="s">
        <v>1624</v>
      </c>
      <c r="G283" s="14" t="s">
        <v>109</v>
      </c>
      <c r="H283" s="14" t="s">
        <v>1625</v>
      </c>
      <c r="I283" s="14"/>
      <c r="J283" s="16" t="s">
        <v>51</v>
      </c>
      <c r="K283" s="14"/>
    </row>
    <row r="284" spans="1:11" ht="19.5" customHeight="1">
      <c r="A284" s="22" t="s">
        <v>4873</v>
      </c>
      <c r="B284" s="23"/>
      <c r="C284" s="23"/>
      <c r="D284" s="23"/>
      <c r="E284" s="23"/>
      <c r="F284" s="23"/>
      <c r="G284" s="23"/>
      <c r="H284" s="23"/>
      <c r="I284" s="23"/>
      <c r="J284" s="23"/>
      <c r="K284" s="23"/>
    </row>
    <row r="285" spans="1:11" ht="84" customHeight="1">
      <c r="A285" s="13" t="s">
        <v>1626</v>
      </c>
      <c r="B285" s="14" t="s">
        <v>1627</v>
      </c>
      <c r="C285" s="14" t="s">
        <v>1628</v>
      </c>
      <c r="D285" s="15" t="s">
        <v>43</v>
      </c>
      <c r="E285" s="13" t="s">
        <v>45</v>
      </c>
      <c r="F285" s="14" t="s">
        <v>1629</v>
      </c>
      <c r="G285" s="14" t="s">
        <v>1630</v>
      </c>
      <c r="H285" s="14" t="s">
        <v>1631</v>
      </c>
      <c r="I285" s="14"/>
      <c r="J285" s="16" t="s">
        <v>51</v>
      </c>
      <c r="K285" s="14"/>
    </row>
    <row r="286" spans="1:11" ht="55.5" customHeight="1">
      <c r="A286" s="13" t="s">
        <v>1632</v>
      </c>
      <c r="B286" s="14" t="s">
        <v>1627</v>
      </c>
      <c r="C286" s="14" t="s">
        <v>1633</v>
      </c>
      <c r="D286" s="15" t="s">
        <v>43</v>
      </c>
      <c r="E286" s="13" t="s">
        <v>46</v>
      </c>
      <c r="F286" s="14" t="s">
        <v>1634</v>
      </c>
      <c r="G286" s="14" t="s">
        <v>109</v>
      </c>
      <c r="H286" s="14" t="s">
        <v>1635</v>
      </c>
      <c r="I286" s="14"/>
      <c r="J286" s="16" t="s">
        <v>51</v>
      </c>
      <c r="K286" s="14"/>
    </row>
    <row r="287" spans="1:11" ht="42" customHeight="1">
      <c r="A287" s="13" t="s">
        <v>1636</v>
      </c>
      <c r="B287" s="14" t="s">
        <v>1627</v>
      </c>
      <c r="C287" s="14" t="s">
        <v>1637</v>
      </c>
      <c r="D287" s="15" t="s">
        <v>43</v>
      </c>
      <c r="E287" s="13" t="s">
        <v>46</v>
      </c>
      <c r="F287" s="14" t="s">
        <v>1638</v>
      </c>
      <c r="G287" s="14" t="s">
        <v>1639</v>
      </c>
      <c r="H287" s="14" t="s">
        <v>1640</v>
      </c>
      <c r="I287" s="14"/>
      <c r="J287" s="16" t="s">
        <v>51</v>
      </c>
      <c r="K287" s="14"/>
    </row>
    <row r="288" spans="1:11" ht="55.5" customHeight="1">
      <c r="A288" s="17" t="s">
        <v>1641</v>
      </c>
      <c r="B288" s="18" t="s">
        <v>1627</v>
      </c>
      <c r="C288" s="18" t="s">
        <v>1642</v>
      </c>
      <c r="D288" s="19" t="s">
        <v>44</v>
      </c>
      <c r="E288" s="17" t="s">
        <v>45</v>
      </c>
      <c r="F288" s="18" t="s">
        <v>1643</v>
      </c>
      <c r="G288" s="18" t="s">
        <v>1644</v>
      </c>
      <c r="H288" s="18" t="s">
        <v>1645</v>
      </c>
      <c r="I288" s="18"/>
      <c r="J288" s="16" t="s">
        <v>51</v>
      </c>
      <c r="K288" s="18"/>
    </row>
    <row r="289" spans="1:11" ht="55.5" customHeight="1">
      <c r="A289" s="13" t="s">
        <v>1646</v>
      </c>
      <c r="B289" s="14" t="s">
        <v>1627</v>
      </c>
      <c r="C289" s="14" t="s">
        <v>1647</v>
      </c>
      <c r="D289" s="15" t="s">
        <v>43</v>
      </c>
      <c r="E289" s="13" t="s">
        <v>45</v>
      </c>
      <c r="F289" s="14" t="s">
        <v>1648</v>
      </c>
      <c r="G289" s="14" t="s">
        <v>1649</v>
      </c>
      <c r="H289" s="14" t="s">
        <v>1650</v>
      </c>
      <c r="I289" s="14"/>
      <c r="J289" s="16" t="s">
        <v>51</v>
      </c>
      <c r="K289" s="14"/>
    </row>
    <row r="290" spans="1:11" ht="19.5" customHeight="1">
      <c r="A290" s="22" t="s">
        <v>4874</v>
      </c>
      <c r="B290" s="23"/>
      <c r="C290" s="23"/>
      <c r="D290" s="23"/>
      <c r="E290" s="23"/>
      <c r="F290" s="23"/>
      <c r="G290" s="23"/>
      <c r="H290" s="23"/>
      <c r="I290" s="23"/>
      <c r="J290" s="23"/>
      <c r="K290" s="23"/>
    </row>
    <row r="291" spans="1:11" ht="55.5" customHeight="1">
      <c r="A291" s="13" t="s">
        <v>1651</v>
      </c>
      <c r="B291" s="14" t="s">
        <v>1652</v>
      </c>
      <c r="C291" s="14" t="s">
        <v>1653</v>
      </c>
      <c r="D291" s="15" t="s">
        <v>43</v>
      </c>
      <c r="E291" s="13" t="s">
        <v>45</v>
      </c>
      <c r="F291" s="14" t="s">
        <v>1654</v>
      </c>
      <c r="G291" s="14" t="s">
        <v>1655</v>
      </c>
      <c r="H291" s="14" t="s">
        <v>1656</v>
      </c>
      <c r="I291" s="14"/>
      <c r="J291" s="16" t="s">
        <v>51</v>
      </c>
      <c r="K291" s="14" t="s">
        <v>1657</v>
      </c>
    </row>
    <row r="292" spans="1:11" ht="55.5" customHeight="1">
      <c r="A292" s="13" t="s">
        <v>1658</v>
      </c>
      <c r="B292" s="14" t="s">
        <v>1652</v>
      </c>
      <c r="C292" s="14" t="s">
        <v>1659</v>
      </c>
      <c r="D292" s="15" t="s">
        <v>43</v>
      </c>
      <c r="E292" s="13" t="s">
        <v>46</v>
      </c>
      <c r="F292" s="14" t="s">
        <v>1660</v>
      </c>
      <c r="G292" s="14" t="s">
        <v>109</v>
      </c>
      <c r="H292" s="14" t="s">
        <v>1661</v>
      </c>
      <c r="I292" s="14"/>
      <c r="J292" s="16" t="s">
        <v>51</v>
      </c>
      <c r="K292" s="14"/>
    </row>
    <row r="293" spans="1:11" ht="42" customHeight="1">
      <c r="A293" s="17" t="s">
        <v>1662</v>
      </c>
      <c r="B293" s="18" t="s">
        <v>1652</v>
      </c>
      <c r="C293" s="18" t="s">
        <v>1663</v>
      </c>
      <c r="D293" s="19" t="s">
        <v>44</v>
      </c>
      <c r="E293" s="17" t="s">
        <v>45</v>
      </c>
      <c r="F293" s="18" t="s">
        <v>1664</v>
      </c>
      <c r="G293" s="18" t="s">
        <v>1665</v>
      </c>
      <c r="H293" s="18" t="s">
        <v>1666</v>
      </c>
      <c r="I293" s="18"/>
      <c r="J293" s="16" t="s">
        <v>51</v>
      </c>
      <c r="K293" s="18"/>
    </row>
    <row r="294" spans="1:11" ht="55.5" customHeight="1">
      <c r="A294" s="13" t="s">
        <v>1667</v>
      </c>
      <c r="B294" s="14" t="s">
        <v>1652</v>
      </c>
      <c r="C294" s="14" t="s">
        <v>1668</v>
      </c>
      <c r="D294" s="15" t="s">
        <v>43</v>
      </c>
      <c r="E294" s="13" t="s">
        <v>46</v>
      </c>
      <c r="F294" s="14" t="s">
        <v>1669</v>
      </c>
      <c r="G294" s="14" t="s">
        <v>109</v>
      </c>
      <c r="H294" s="14" t="s">
        <v>1670</v>
      </c>
      <c r="I294" s="14"/>
      <c r="J294" s="16" t="s">
        <v>51</v>
      </c>
      <c r="K294" s="14"/>
    </row>
    <row r="295" spans="1:11" ht="42" customHeight="1">
      <c r="A295" s="17" t="s">
        <v>1671</v>
      </c>
      <c r="B295" s="18" t="s">
        <v>1652</v>
      </c>
      <c r="C295" s="18" t="s">
        <v>1672</v>
      </c>
      <c r="D295" s="19" t="s">
        <v>44</v>
      </c>
      <c r="E295" s="17" t="s">
        <v>45</v>
      </c>
      <c r="F295" s="18" t="s">
        <v>1673</v>
      </c>
      <c r="G295" s="18" t="s">
        <v>1674</v>
      </c>
      <c r="H295" s="18" t="s">
        <v>1675</v>
      </c>
      <c r="I295" s="18"/>
      <c r="J295" s="16" t="s">
        <v>51</v>
      </c>
      <c r="K295" s="18"/>
    </row>
    <row r="296" spans="1:11" ht="42" customHeight="1">
      <c r="A296" s="13" t="s">
        <v>1676</v>
      </c>
      <c r="B296" s="14" t="s">
        <v>1652</v>
      </c>
      <c r="C296" s="14" t="s">
        <v>1677</v>
      </c>
      <c r="D296" s="15" t="s">
        <v>43</v>
      </c>
      <c r="E296" s="13" t="s">
        <v>47</v>
      </c>
      <c r="F296" s="14" t="s">
        <v>1678</v>
      </c>
      <c r="G296" s="14" t="s">
        <v>109</v>
      </c>
      <c r="H296" s="14" t="s">
        <v>1679</v>
      </c>
      <c r="I296" s="14"/>
      <c r="J296" s="16" t="s">
        <v>51</v>
      </c>
      <c r="K296" s="14"/>
    </row>
    <row r="297" spans="1:11" ht="19.5" customHeight="1">
      <c r="A297" s="22" t="s">
        <v>4875</v>
      </c>
      <c r="B297" s="23"/>
      <c r="C297" s="23"/>
      <c r="D297" s="23"/>
      <c r="E297" s="23"/>
      <c r="F297" s="23"/>
      <c r="G297" s="23"/>
      <c r="H297" s="23"/>
      <c r="I297" s="23"/>
      <c r="J297" s="23"/>
      <c r="K297" s="23"/>
    </row>
    <row r="298" spans="1:11" ht="84" customHeight="1">
      <c r="A298" s="13" t="s">
        <v>1680</v>
      </c>
      <c r="B298" s="14" t="s">
        <v>1681</v>
      </c>
      <c r="C298" s="14" t="s">
        <v>1682</v>
      </c>
      <c r="D298" s="15" t="s">
        <v>43</v>
      </c>
      <c r="E298" s="13" t="s">
        <v>45</v>
      </c>
      <c r="F298" s="14" t="s">
        <v>1683</v>
      </c>
      <c r="G298" s="14" t="s">
        <v>1684</v>
      </c>
      <c r="H298" s="14" t="s">
        <v>1685</v>
      </c>
      <c r="I298" s="14"/>
      <c r="J298" s="16" t="s">
        <v>51</v>
      </c>
      <c r="K298" s="14" t="s">
        <v>1686</v>
      </c>
    </row>
    <row r="299" spans="1:11" ht="69.75" customHeight="1">
      <c r="A299" s="17" t="s">
        <v>1687</v>
      </c>
      <c r="B299" s="18" t="s">
        <v>1681</v>
      </c>
      <c r="C299" s="18" t="s">
        <v>1688</v>
      </c>
      <c r="D299" s="19" t="s">
        <v>44</v>
      </c>
      <c r="E299" s="17" t="s">
        <v>45</v>
      </c>
      <c r="F299" s="18" t="s">
        <v>1689</v>
      </c>
      <c r="G299" s="18" t="s">
        <v>1690</v>
      </c>
      <c r="H299" s="18" t="s">
        <v>1691</v>
      </c>
      <c r="I299" s="18"/>
      <c r="J299" s="16" t="s">
        <v>51</v>
      </c>
      <c r="K299" s="18" t="s">
        <v>631</v>
      </c>
    </row>
    <row r="300" spans="1:11" ht="55.5" customHeight="1">
      <c r="A300" s="13" t="s">
        <v>1692</v>
      </c>
      <c r="B300" s="14" t="s">
        <v>1681</v>
      </c>
      <c r="C300" s="14" t="s">
        <v>1693</v>
      </c>
      <c r="D300" s="15" t="s">
        <v>43</v>
      </c>
      <c r="E300" s="13" t="s">
        <v>45</v>
      </c>
      <c r="F300" s="14" t="s">
        <v>1694</v>
      </c>
      <c r="G300" s="14" t="s">
        <v>1695</v>
      </c>
      <c r="H300" s="14" t="s">
        <v>1696</v>
      </c>
      <c r="I300" s="14"/>
      <c r="J300" s="16" t="s">
        <v>51</v>
      </c>
      <c r="K300" s="14"/>
    </row>
    <row r="301" spans="1:11" ht="55.5" customHeight="1">
      <c r="A301" s="17" t="s">
        <v>1697</v>
      </c>
      <c r="B301" s="18" t="s">
        <v>1681</v>
      </c>
      <c r="C301" s="18" t="s">
        <v>1698</v>
      </c>
      <c r="D301" s="19" t="s">
        <v>44</v>
      </c>
      <c r="E301" s="17" t="s">
        <v>46</v>
      </c>
      <c r="F301" s="18" t="s">
        <v>1699</v>
      </c>
      <c r="G301" s="18" t="s">
        <v>1700</v>
      </c>
      <c r="H301" s="18" t="s">
        <v>1701</v>
      </c>
      <c r="I301" s="18"/>
      <c r="J301" s="16" t="s">
        <v>51</v>
      </c>
      <c r="K301" s="18"/>
    </row>
    <row r="302" spans="1:11" ht="42" customHeight="1">
      <c r="A302" s="17" t="s">
        <v>1702</v>
      </c>
      <c r="B302" s="18" t="s">
        <v>1681</v>
      </c>
      <c r="C302" s="18" t="s">
        <v>1703</v>
      </c>
      <c r="D302" s="19" t="s">
        <v>44</v>
      </c>
      <c r="E302" s="17" t="s">
        <v>45</v>
      </c>
      <c r="F302" s="18" t="s">
        <v>1704</v>
      </c>
      <c r="G302" s="18" t="s">
        <v>1705</v>
      </c>
      <c r="H302" s="18" t="s">
        <v>1706</v>
      </c>
      <c r="I302" s="18"/>
      <c r="J302" s="16" t="s">
        <v>51</v>
      </c>
      <c r="K302" s="18"/>
    </row>
    <row r="303" spans="1:11" ht="55.5" customHeight="1">
      <c r="A303" s="13" t="s">
        <v>1707</v>
      </c>
      <c r="B303" s="14" t="s">
        <v>1681</v>
      </c>
      <c r="C303" s="14" t="s">
        <v>1708</v>
      </c>
      <c r="D303" s="15" t="s">
        <v>43</v>
      </c>
      <c r="E303" s="13" t="s">
        <v>46</v>
      </c>
      <c r="F303" s="14" t="s">
        <v>1709</v>
      </c>
      <c r="G303" s="14" t="s">
        <v>1710</v>
      </c>
      <c r="H303" s="14" t="s">
        <v>1711</v>
      </c>
      <c r="I303" s="14"/>
      <c r="J303" s="16" t="s">
        <v>51</v>
      </c>
      <c r="K303" s="14" t="s">
        <v>1712</v>
      </c>
    </row>
    <row r="304" spans="1:11" ht="55.5" customHeight="1">
      <c r="A304" s="17" t="s">
        <v>1713</v>
      </c>
      <c r="B304" s="18" t="s">
        <v>1681</v>
      </c>
      <c r="C304" s="18" t="s">
        <v>1714</v>
      </c>
      <c r="D304" s="19" t="s">
        <v>44</v>
      </c>
      <c r="E304" s="17" t="s">
        <v>46</v>
      </c>
      <c r="F304" s="18" t="s">
        <v>1715</v>
      </c>
      <c r="G304" s="18" t="s">
        <v>109</v>
      </c>
      <c r="H304" s="18" t="s">
        <v>1716</v>
      </c>
      <c r="I304" s="18"/>
      <c r="J304" s="16" t="s">
        <v>51</v>
      </c>
      <c r="K304" s="18"/>
    </row>
    <row r="305" spans="1:11" ht="69.75" customHeight="1">
      <c r="A305" s="13" t="s">
        <v>1717</v>
      </c>
      <c r="B305" s="14" t="s">
        <v>1681</v>
      </c>
      <c r="C305" s="14" t="s">
        <v>1718</v>
      </c>
      <c r="D305" s="15" t="s">
        <v>43</v>
      </c>
      <c r="E305" s="13" t="s">
        <v>46</v>
      </c>
      <c r="F305" s="14" t="s">
        <v>1719</v>
      </c>
      <c r="G305" s="14" t="s">
        <v>1720</v>
      </c>
      <c r="H305" s="14" t="s">
        <v>1721</v>
      </c>
      <c r="I305" s="14"/>
      <c r="J305" s="16" t="s">
        <v>51</v>
      </c>
      <c r="K305" s="14"/>
    </row>
  </sheetData>
  <autoFilter ref="A1:K305" xr:uid="{00000000-0009-0000-0000-00000C000000}"/>
  <dataValidations count="3">
    <dataValidation type="list" allowBlank="1" sqref="D2:D305" xr:uid="{00000000-0002-0000-0C00-000000000000}">
      <formula1>"Positive,Negative,Functional - Positive,Functional - Negative,Validation - Positive,Validation - Negative,Defect - Functional,Defect - Validation"</formula1>
      <formula2>0</formula2>
    </dataValidation>
    <dataValidation type="list" allowBlank="1" sqref="E2:E305" xr:uid="{00000000-0002-0000-0C00-000001000000}">
      <formula1>"High,Medium,Low"</formula1>
      <formula2>0</formula2>
    </dataValidation>
    <dataValidation type="list" allowBlank="1" sqref="J2:J305" xr:uid="{00000000-0002-0000-0C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83"/>
  <sheetViews>
    <sheetView zoomScaleNormal="100" workbookViewId="0">
      <selection activeCell="F7" sqref="F7"/>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19.5" customHeight="1">
      <c r="A2" s="22" t="s">
        <v>4876</v>
      </c>
      <c r="B2" s="23"/>
      <c r="C2" s="23"/>
      <c r="D2" s="23"/>
      <c r="E2" s="23"/>
      <c r="F2" s="23"/>
      <c r="G2" s="23"/>
      <c r="H2" s="23"/>
      <c r="I2" s="23"/>
      <c r="J2" s="23"/>
      <c r="K2" s="23"/>
    </row>
    <row r="3" spans="1:11" ht="55.5" customHeight="1">
      <c r="A3" s="13" t="s">
        <v>4877</v>
      </c>
      <c r="B3" s="14" t="s">
        <v>4878</v>
      </c>
      <c r="C3" s="14" t="s">
        <v>4879</v>
      </c>
      <c r="D3" s="15" t="s">
        <v>28</v>
      </c>
      <c r="E3" s="13" t="s">
        <v>45</v>
      </c>
      <c r="F3" s="14" t="s">
        <v>4880</v>
      </c>
      <c r="G3" s="14" t="s">
        <v>4881</v>
      </c>
      <c r="H3" s="14" t="s">
        <v>4882</v>
      </c>
      <c r="I3" s="14"/>
      <c r="J3" s="16" t="s">
        <v>51</v>
      </c>
      <c r="K3" s="14"/>
    </row>
    <row r="4" spans="1:11" ht="42" customHeight="1">
      <c r="A4" s="13" t="s">
        <v>4883</v>
      </c>
      <c r="B4" s="14" t="s">
        <v>4878</v>
      </c>
      <c r="C4" s="14" t="s">
        <v>4884</v>
      </c>
      <c r="D4" s="15" t="s">
        <v>28</v>
      </c>
      <c r="E4" s="13" t="s">
        <v>45</v>
      </c>
      <c r="F4" s="14" t="s">
        <v>4885</v>
      </c>
      <c r="G4" s="14" t="s">
        <v>109</v>
      </c>
      <c r="H4" s="14" t="s">
        <v>4886</v>
      </c>
      <c r="I4" s="14"/>
      <c r="J4" s="16" t="s">
        <v>51</v>
      </c>
      <c r="K4" s="14"/>
    </row>
    <row r="5" spans="1:11" ht="42" customHeight="1">
      <c r="A5" s="13" t="s">
        <v>4887</v>
      </c>
      <c r="B5" s="14" t="s">
        <v>4878</v>
      </c>
      <c r="C5" s="14" t="s">
        <v>4888</v>
      </c>
      <c r="D5" s="15" t="s">
        <v>30</v>
      </c>
      <c r="E5" s="13" t="s">
        <v>46</v>
      </c>
      <c r="F5" s="14" t="s">
        <v>4889</v>
      </c>
      <c r="G5" s="14" t="s">
        <v>4890</v>
      </c>
      <c r="H5" s="14" t="s">
        <v>4891</v>
      </c>
      <c r="I5" s="14"/>
      <c r="J5" s="16" t="s">
        <v>51</v>
      </c>
      <c r="K5" s="14"/>
    </row>
    <row r="6" spans="1:11" ht="55.5" customHeight="1">
      <c r="A6" s="17" t="s">
        <v>4892</v>
      </c>
      <c r="B6" s="18" t="s">
        <v>4878</v>
      </c>
      <c r="C6" s="18" t="s">
        <v>4893</v>
      </c>
      <c r="D6" s="19" t="s">
        <v>31</v>
      </c>
      <c r="E6" s="17" t="s">
        <v>47</v>
      </c>
      <c r="F6" s="18" t="s">
        <v>4894</v>
      </c>
      <c r="G6" s="18" t="s">
        <v>109</v>
      </c>
      <c r="H6" s="18" t="s">
        <v>4895</v>
      </c>
      <c r="I6" s="18"/>
      <c r="J6" s="16" t="s">
        <v>51</v>
      </c>
      <c r="K6" s="18" t="s">
        <v>4896</v>
      </c>
    </row>
    <row r="7" spans="1:11" ht="42" customHeight="1">
      <c r="A7" s="13" t="s">
        <v>4897</v>
      </c>
      <c r="B7" s="14" t="s">
        <v>4878</v>
      </c>
      <c r="C7" s="14" t="s">
        <v>4898</v>
      </c>
      <c r="D7" s="15" t="s">
        <v>28</v>
      </c>
      <c r="E7" s="13" t="s">
        <v>45</v>
      </c>
      <c r="F7" s="14" t="s">
        <v>4899</v>
      </c>
      <c r="G7" s="14" t="s">
        <v>109</v>
      </c>
      <c r="H7" s="14" t="s">
        <v>4900</v>
      </c>
      <c r="I7" s="14"/>
      <c r="J7" s="16" t="s">
        <v>51</v>
      </c>
      <c r="K7" s="14"/>
    </row>
    <row r="8" spans="1:11" ht="27.75" customHeight="1">
      <c r="A8" s="17" t="s">
        <v>4901</v>
      </c>
      <c r="B8" s="18" t="s">
        <v>4878</v>
      </c>
      <c r="C8" s="18" t="s">
        <v>4902</v>
      </c>
      <c r="D8" s="19" t="s">
        <v>31</v>
      </c>
      <c r="E8" s="17" t="s">
        <v>46</v>
      </c>
      <c r="F8" s="18" t="s">
        <v>4903</v>
      </c>
      <c r="G8" s="18" t="s">
        <v>109</v>
      </c>
      <c r="H8" s="18" t="s">
        <v>4904</v>
      </c>
      <c r="I8" s="18"/>
      <c r="J8" s="16" t="s">
        <v>51</v>
      </c>
      <c r="K8" s="18"/>
    </row>
    <row r="9" spans="1:11" ht="55.5" customHeight="1">
      <c r="A9" s="13" t="s">
        <v>4905</v>
      </c>
      <c r="B9" s="14" t="s">
        <v>4878</v>
      </c>
      <c r="C9" s="14" t="s">
        <v>4906</v>
      </c>
      <c r="D9" s="15" t="s">
        <v>30</v>
      </c>
      <c r="E9" s="13" t="s">
        <v>45</v>
      </c>
      <c r="F9" s="14" t="s">
        <v>4907</v>
      </c>
      <c r="G9" s="14" t="s">
        <v>4908</v>
      </c>
      <c r="H9" s="14" t="s">
        <v>4909</v>
      </c>
      <c r="I9" s="14"/>
      <c r="J9" s="16" t="s">
        <v>51</v>
      </c>
      <c r="K9" s="14"/>
    </row>
    <row r="10" spans="1:11" ht="69.75" customHeight="1">
      <c r="A10" s="13" t="s">
        <v>4910</v>
      </c>
      <c r="B10" s="14" t="s">
        <v>4878</v>
      </c>
      <c r="C10" s="14" t="s">
        <v>4911</v>
      </c>
      <c r="D10" s="15" t="s">
        <v>28</v>
      </c>
      <c r="E10" s="13" t="s">
        <v>45</v>
      </c>
      <c r="F10" s="14" t="s">
        <v>4912</v>
      </c>
      <c r="G10" s="14" t="s">
        <v>4913</v>
      </c>
      <c r="H10" s="14" t="s">
        <v>4914</v>
      </c>
      <c r="I10" s="14"/>
      <c r="J10" s="16" t="s">
        <v>51</v>
      </c>
      <c r="K10" s="14"/>
    </row>
    <row r="11" spans="1:11" ht="55.5" customHeight="1">
      <c r="A11" s="13" t="s">
        <v>4915</v>
      </c>
      <c r="B11" s="14" t="s">
        <v>4878</v>
      </c>
      <c r="C11" s="14" t="s">
        <v>4916</v>
      </c>
      <c r="D11" s="15" t="s">
        <v>28</v>
      </c>
      <c r="E11" s="13" t="s">
        <v>45</v>
      </c>
      <c r="F11" s="14" t="s">
        <v>4917</v>
      </c>
      <c r="G11" s="14" t="s">
        <v>4918</v>
      </c>
      <c r="H11" s="14" t="s">
        <v>4919</v>
      </c>
      <c r="I11" s="14"/>
      <c r="J11" s="16" t="s">
        <v>51</v>
      </c>
      <c r="K11" s="14"/>
    </row>
    <row r="12" spans="1:11" ht="55.5" customHeight="1">
      <c r="A12" s="13" t="s">
        <v>4920</v>
      </c>
      <c r="B12" s="14" t="s">
        <v>4878</v>
      </c>
      <c r="C12" s="14" t="s">
        <v>4921</v>
      </c>
      <c r="D12" s="15" t="s">
        <v>30</v>
      </c>
      <c r="E12" s="13" t="s">
        <v>46</v>
      </c>
      <c r="F12" s="14" t="s">
        <v>4922</v>
      </c>
      <c r="G12" s="14" t="s">
        <v>4923</v>
      </c>
      <c r="H12" s="14" t="s">
        <v>4924</v>
      </c>
      <c r="I12" s="14"/>
      <c r="J12" s="16" t="s">
        <v>51</v>
      </c>
      <c r="K12" s="14"/>
    </row>
    <row r="13" spans="1:11" ht="55.5" customHeight="1">
      <c r="A13" s="17" t="s">
        <v>4925</v>
      </c>
      <c r="B13" s="18" t="s">
        <v>4878</v>
      </c>
      <c r="C13" s="18" t="s">
        <v>4926</v>
      </c>
      <c r="D13" s="19" t="s">
        <v>31</v>
      </c>
      <c r="E13" s="17" t="s">
        <v>46</v>
      </c>
      <c r="F13" s="18" t="s">
        <v>4927</v>
      </c>
      <c r="G13" s="18" t="s">
        <v>4928</v>
      </c>
      <c r="H13" s="18" t="s">
        <v>4929</v>
      </c>
      <c r="I13" s="18"/>
      <c r="J13" s="16" t="s">
        <v>51</v>
      </c>
      <c r="K13" s="18" t="s">
        <v>4930</v>
      </c>
    </row>
    <row r="14" spans="1:11" ht="55.5" customHeight="1">
      <c r="A14" s="13" t="s">
        <v>4931</v>
      </c>
      <c r="B14" s="14" t="s">
        <v>4878</v>
      </c>
      <c r="C14" s="14" t="s">
        <v>4932</v>
      </c>
      <c r="D14" s="15" t="s">
        <v>30</v>
      </c>
      <c r="E14" s="13" t="s">
        <v>46</v>
      </c>
      <c r="F14" s="14" t="s">
        <v>4933</v>
      </c>
      <c r="G14" s="14" t="s">
        <v>4934</v>
      </c>
      <c r="H14" s="14" t="s">
        <v>4935</v>
      </c>
      <c r="I14" s="14"/>
      <c r="J14" s="16" t="s">
        <v>51</v>
      </c>
      <c r="K14" s="14"/>
    </row>
    <row r="15" spans="1:11" ht="55.5" customHeight="1">
      <c r="A15" s="13" t="s">
        <v>4936</v>
      </c>
      <c r="B15" s="14" t="s">
        <v>4878</v>
      </c>
      <c r="C15" s="14" t="s">
        <v>4937</v>
      </c>
      <c r="D15" s="15" t="s">
        <v>30</v>
      </c>
      <c r="E15" s="13" t="s">
        <v>46</v>
      </c>
      <c r="F15" s="14" t="s">
        <v>4938</v>
      </c>
      <c r="G15" s="14" t="s">
        <v>4939</v>
      </c>
      <c r="H15" s="14" t="s">
        <v>4940</v>
      </c>
      <c r="I15" s="14"/>
      <c r="J15" s="16" t="s">
        <v>51</v>
      </c>
      <c r="K15" s="14"/>
    </row>
    <row r="16" spans="1:11" ht="55.5" customHeight="1">
      <c r="A16" s="13" t="s">
        <v>4941</v>
      </c>
      <c r="B16" s="14" t="s">
        <v>4878</v>
      </c>
      <c r="C16" s="14" t="s">
        <v>4942</v>
      </c>
      <c r="D16" s="15" t="s">
        <v>28</v>
      </c>
      <c r="E16" s="13" t="s">
        <v>46</v>
      </c>
      <c r="F16" s="14" t="s">
        <v>4943</v>
      </c>
      <c r="G16" s="14" t="s">
        <v>109</v>
      </c>
      <c r="H16" s="14" t="s">
        <v>4944</v>
      </c>
      <c r="I16" s="14"/>
      <c r="J16" s="16" t="s">
        <v>51</v>
      </c>
      <c r="K16" s="14"/>
    </row>
    <row r="17" spans="1:11" ht="19.5" customHeight="1">
      <c r="A17" s="22" t="s">
        <v>4945</v>
      </c>
      <c r="B17" s="23"/>
      <c r="C17" s="23"/>
      <c r="D17" s="23"/>
      <c r="E17" s="23"/>
      <c r="F17" s="23"/>
      <c r="G17" s="23"/>
      <c r="H17" s="23"/>
      <c r="I17" s="23"/>
      <c r="J17" s="23"/>
      <c r="K17" s="23"/>
    </row>
    <row r="18" spans="1:11" ht="55.5" customHeight="1">
      <c r="A18" s="13" t="s">
        <v>4946</v>
      </c>
      <c r="B18" s="14" t="s">
        <v>4947</v>
      </c>
      <c r="C18" s="14" t="s">
        <v>4948</v>
      </c>
      <c r="D18" s="15" t="s">
        <v>28</v>
      </c>
      <c r="E18" s="13" t="s">
        <v>45</v>
      </c>
      <c r="F18" s="14" t="s">
        <v>4949</v>
      </c>
      <c r="G18" s="14" t="s">
        <v>4950</v>
      </c>
      <c r="H18" s="14" t="s">
        <v>4951</v>
      </c>
      <c r="I18" s="14"/>
      <c r="J18" s="16" t="s">
        <v>51</v>
      </c>
      <c r="K18" s="14"/>
    </row>
    <row r="19" spans="1:11" ht="42" customHeight="1">
      <c r="A19" s="13" t="s">
        <v>4952</v>
      </c>
      <c r="B19" s="14" t="s">
        <v>4947</v>
      </c>
      <c r="C19" s="14" t="s">
        <v>4953</v>
      </c>
      <c r="D19" s="15" t="s">
        <v>28</v>
      </c>
      <c r="E19" s="13" t="s">
        <v>45</v>
      </c>
      <c r="F19" s="14" t="s">
        <v>4954</v>
      </c>
      <c r="G19" s="14" t="s">
        <v>4955</v>
      </c>
      <c r="H19" s="14" t="s">
        <v>4956</v>
      </c>
      <c r="I19" s="14"/>
      <c r="J19" s="16" t="s">
        <v>51</v>
      </c>
      <c r="K19" s="14"/>
    </row>
    <row r="20" spans="1:11" ht="42" customHeight="1">
      <c r="A20" s="17" t="s">
        <v>4957</v>
      </c>
      <c r="B20" s="18" t="s">
        <v>4947</v>
      </c>
      <c r="C20" s="18" t="s">
        <v>4958</v>
      </c>
      <c r="D20" s="19" t="s">
        <v>31</v>
      </c>
      <c r="E20" s="17" t="s">
        <v>46</v>
      </c>
      <c r="F20" s="18" t="s">
        <v>4959</v>
      </c>
      <c r="G20" s="18" t="s">
        <v>4960</v>
      </c>
      <c r="H20" s="18" t="s">
        <v>4961</v>
      </c>
      <c r="I20" s="18"/>
      <c r="J20" s="16" t="s">
        <v>51</v>
      </c>
      <c r="K20" s="18"/>
    </row>
    <row r="21" spans="1:11" ht="55.5" customHeight="1">
      <c r="A21" s="13" t="s">
        <v>4962</v>
      </c>
      <c r="B21" s="14" t="s">
        <v>4947</v>
      </c>
      <c r="C21" s="14" t="s">
        <v>4963</v>
      </c>
      <c r="D21" s="15" t="s">
        <v>30</v>
      </c>
      <c r="E21" s="13" t="s">
        <v>46</v>
      </c>
      <c r="F21" s="14" t="s">
        <v>4964</v>
      </c>
      <c r="G21" s="14" t="s">
        <v>109</v>
      </c>
      <c r="H21" s="14" t="s">
        <v>4965</v>
      </c>
      <c r="I21" s="14"/>
      <c r="J21" s="16" t="s">
        <v>51</v>
      </c>
      <c r="K21" s="14"/>
    </row>
    <row r="22" spans="1:11" ht="42" customHeight="1">
      <c r="A22" s="13" t="s">
        <v>4966</v>
      </c>
      <c r="B22" s="14" t="s">
        <v>2319</v>
      </c>
      <c r="C22" s="14" t="s">
        <v>4967</v>
      </c>
      <c r="D22" s="15" t="s">
        <v>28</v>
      </c>
      <c r="E22" s="13" t="s">
        <v>45</v>
      </c>
      <c r="F22" s="14" t="s">
        <v>4968</v>
      </c>
      <c r="G22" s="14" t="s">
        <v>4969</v>
      </c>
      <c r="H22" s="14" t="s">
        <v>4970</v>
      </c>
      <c r="I22" s="14"/>
      <c r="J22" s="16" t="s">
        <v>51</v>
      </c>
      <c r="K22" s="14"/>
    </row>
    <row r="23" spans="1:11" ht="42" customHeight="1">
      <c r="A23" s="13" t="s">
        <v>4971</v>
      </c>
      <c r="B23" s="14" t="s">
        <v>2319</v>
      </c>
      <c r="C23" s="14" t="s">
        <v>4972</v>
      </c>
      <c r="D23" s="15" t="s">
        <v>28</v>
      </c>
      <c r="E23" s="13" t="s">
        <v>46</v>
      </c>
      <c r="F23" s="14" t="s">
        <v>4973</v>
      </c>
      <c r="G23" s="14" t="s">
        <v>4974</v>
      </c>
      <c r="H23" s="14" t="s">
        <v>4975</v>
      </c>
      <c r="I23" s="14"/>
      <c r="J23" s="16" t="s">
        <v>51</v>
      </c>
      <c r="K23" s="14"/>
    </row>
    <row r="24" spans="1:11" ht="42" customHeight="1">
      <c r="A24" s="17" t="s">
        <v>4976</v>
      </c>
      <c r="B24" s="18" t="s">
        <v>2319</v>
      </c>
      <c r="C24" s="18" t="s">
        <v>4977</v>
      </c>
      <c r="D24" s="19" t="s">
        <v>31</v>
      </c>
      <c r="E24" s="17" t="s">
        <v>46</v>
      </c>
      <c r="F24" s="18" t="s">
        <v>4978</v>
      </c>
      <c r="G24" s="18" t="s">
        <v>4979</v>
      </c>
      <c r="H24" s="18" t="s">
        <v>4980</v>
      </c>
      <c r="I24" s="18"/>
      <c r="J24" s="16" t="s">
        <v>51</v>
      </c>
      <c r="K24" s="18"/>
    </row>
    <row r="25" spans="1:11" ht="27.75" customHeight="1">
      <c r="A25" s="17" t="s">
        <v>4981</v>
      </c>
      <c r="B25" s="18" t="s">
        <v>2319</v>
      </c>
      <c r="C25" s="18" t="s">
        <v>4982</v>
      </c>
      <c r="D25" s="19" t="s">
        <v>31</v>
      </c>
      <c r="E25" s="17" t="s">
        <v>47</v>
      </c>
      <c r="F25" s="18" t="s">
        <v>4983</v>
      </c>
      <c r="G25" s="18" t="s">
        <v>4984</v>
      </c>
      <c r="H25" s="18" t="s">
        <v>3932</v>
      </c>
      <c r="I25" s="18"/>
      <c r="J25" s="16" t="s">
        <v>51</v>
      </c>
      <c r="K25" s="18"/>
    </row>
    <row r="26" spans="1:11" ht="42" customHeight="1">
      <c r="A26" s="13" t="s">
        <v>4985</v>
      </c>
      <c r="B26" s="14" t="s">
        <v>2319</v>
      </c>
      <c r="C26" s="14" t="s">
        <v>4986</v>
      </c>
      <c r="D26" s="15" t="s">
        <v>30</v>
      </c>
      <c r="E26" s="13" t="s">
        <v>47</v>
      </c>
      <c r="F26" s="14" t="s">
        <v>4987</v>
      </c>
      <c r="G26" s="14" t="s">
        <v>4988</v>
      </c>
      <c r="H26" s="14" t="s">
        <v>4989</v>
      </c>
      <c r="I26" s="14"/>
      <c r="J26" s="16" t="s">
        <v>51</v>
      </c>
      <c r="K26" s="14"/>
    </row>
    <row r="27" spans="1:11" ht="42" customHeight="1">
      <c r="A27" s="13" t="s">
        <v>4990</v>
      </c>
      <c r="B27" s="14" t="s">
        <v>2319</v>
      </c>
      <c r="C27" s="14" t="s">
        <v>4991</v>
      </c>
      <c r="D27" s="15" t="s">
        <v>28</v>
      </c>
      <c r="E27" s="13" t="s">
        <v>46</v>
      </c>
      <c r="F27" s="14" t="s">
        <v>4992</v>
      </c>
      <c r="G27" s="14" t="s">
        <v>4955</v>
      </c>
      <c r="H27" s="14" t="s">
        <v>4993</v>
      </c>
      <c r="I27" s="14"/>
      <c r="J27" s="16" t="s">
        <v>51</v>
      </c>
      <c r="K27" s="14"/>
    </row>
    <row r="28" spans="1:11" ht="19.5" customHeight="1">
      <c r="A28" s="22" t="s">
        <v>4994</v>
      </c>
      <c r="B28" s="23"/>
      <c r="C28" s="23"/>
      <c r="D28" s="23"/>
      <c r="E28" s="23"/>
      <c r="F28" s="23"/>
      <c r="G28" s="23"/>
      <c r="H28" s="23"/>
      <c r="I28" s="23"/>
      <c r="J28" s="23"/>
      <c r="K28" s="23"/>
    </row>
    <row r="29" spans="1:11" ht="42" customHeight="1">
      <c r="A29" s="13" t="s">
        <v>4995</v>
      </c>
      <c r="B29" s="14" t="s">
        <v>4996</v>
      </c>
      <c r="C29" s="14" t="s">
        <v>4997</v>
      </c>
      <c r="D29" s="15" t="s">
        <v>28</v>
      </c>
      <c r="E29" s="13" t="s">
        <v>45</v>
      </c>
      <c r="F29" s="14" t="s">
        <v>4998</v>
      </c>
      <c r="G29" s="14" t="s">
        <v>4999</v>
      </c>
      <c r="H29" s="14" t="s">
        <v>5000</v>
      </c>
      <c r="I29" s="14"/>
      <c r="J29" s="16" t="s">
        <v>51</v>
      </c>
      <c r="K29" s="14"/>
    </row>
    <row r="30" spans="1:11" ht="42" customHeight="1">
      <c r="A30" s="13" t="s">
        <v>5001</v>
      </c>
      <c r="B30" s="14" t="s">
        <v>4996</v>
      </c>
      <c r="C30" s="14" t="s">
        <v>5002</v>
      </c>
      <c r="D30" s="15" t="s">
        <v>28</v>
      </c>
      <c r="E30" s="13" t="s">
        <v>45</v>
      </c>
      <c r="F30" s="14" t="s">
        <v>5003</v>
      </c>
      <c r="G30" s="14" t="s">
        <v>5004</v>
      </c>
      <c r="H30" s="14" t="s">
        <v>5005</v>
      </c>
      <c r="I30" s="14"/>
      <c r="J30" s="16" t="s">
        <v>51</v>
      </c>
      <c r="K30" s="14"/>
    </row>
    <row r="31" spans="1:11" ht="42" customHeight="1">
      <c r="A31" s="17" t="s">
        <v>5006</v>
      </c>
      <c r="B31" s="18" t="s">
        <v>4996</v>
      </c>
      <c r="C31" s="18" t="s">
        <v>5007</v>
      </c>
      <c r="D31" s="19" t="s">
        <v>31</v>
      </c>
      <c r="E31" s="17" t="s">
        <v>46</v>
      </c>
      <c r="F31" s="18" t="s">
        <v>5008</v>
      </c>
      <c r="G31" s="18" t="s">
        <v>109</v>
      </c>
      <c r="H31" s="18" t="s">
        <v>5009</v>
      </c>
      <c r="I31" s="18"/>
      <c r="J31" s="16" t="s">
        <v>51</v>
      </c>
      <c r="K31" s="18"/>
    </row>
    <row r="32" spans="1:11" ht="42" customHeight="1">
      <c r="A32" s="13" t="s">
        <v>5010</v>
      </c>
      <c r="B32" s="14" t="s">
        <v>4996</v>
      </c>
      <c r="C32" s="14" t="s">
        <v>5011</v>
      </c>
      <c r="D32" s="15" t="s">
        <v>30</v>
      </c>
      <c r="E32" s="13" t="s">
        <v>45</v>
      </c>
      <c r="F32" s="14" t="s">
        <v>5012</v>
      </c>
      <c r="G32" s="14" t="s">
        <v>5013</v>
      </c>
      <c r="H32" s="14" t="s">
        <v>5014</v>
      </c>
      <c r="I32" s="14"/>
      <c r="J32" s="16" t="s">
        <v>51</v>
      </c>
      <c r="K32" s="14"/>
    </row>
    <row r="33" spans="1:11" ht="42" customHeight="1">
      <c r="A33" s="13" t="s">
        <v>5015</v>
      </c>
      <c r="B33" s="14" t="s">
        <v>4996</v>
      </c>
      <c r="C33" s="14" t="s">
        <v>5016</v>
      </c>
      <c r="D33" s="15" t="s">
        <v>28</v>
      </c>
      <c r="E33" s="13" t="s">
        <v>46</v>
      </c>
      <c r="F33" s="14" t="s">
        <v>5017</v>
      </c>
      <c r="G33" s="14" t="s">
        <v>109</v>
      </c>
      <c r="H33" s="14" t="s">
        <v>5018</v>
      </c>
      <c r="I33" s="14"/>
      <c r="J33" s="16" t="s">
        <v>51</v>
      </c>
      <c r="K33" s="14"/>
    </row>
    <row r="34" spans="1:11" ht="42" customHeight="1">
      <c r="A34" s="13" t="s">
        <v>5019</v>
      </c>
      <c r="B34" s="14" t="s">
        <v>2388</v>
      </c>
      <c r="C34" s="14" t="s">
        <v>5020</v>
      </c>
      <c r="D34" s="15" t="s">
        <v>28</v>
      </c>
      <c r="E34" s="13" t="s">
        <v>45</v>
      </c>
      <c r="F34" s="14" t="s">
        <v>5021</v>
      </c>
      <c r="G34" s="14" t="s">
        <v>109</v>
      </c>
      <c r="H34" s="14" t="s">
        <v>5022</v>
      </c>
      <c r="I34" s="14"/>
      <c r="J34" s="16" t="s">
        <v>51</v>
      </c>
      <c r="K34" s="14"/>
    </row>
    <row r="35" spans="1:11" ht="42" customHeight="1">
      <c r="A35" s="13" t="s">
        <v>5023</v>
      </c>
      <c r="B35" s="14" t="s">
        <v>5024</v>
      </c>
      <c r="C35" s="14" t="s">
        <v>5025</v>
      </c>
      <c r="D35" s="15" t="s">
        <v>30</v>
      </c>
      <c r="E35" s="13" t="s">
        <v>45</v>
      </c>
      <c r="F35" s="14" t="s">
        <v>5026</v>
      </c>
      <c r="G35" s="14" t="s">
        <v>5027</v>
      </c>
      <c r="H35" s="14" t="s">
        <v>5028</v>
      </c>
      <c r="I35" s="14"/>
      <c r="J35" s="16" t="s">
        <v>51</v>
      </c>
      <c r="K35" s="14"/>
    </row>
    <row r="36" spans="1:11" ht="42" customHeight="1">
      <c r="A36" s="13" t="s">
        <v>5029</v>
      </c>
      <c r="B36" s="14" t="s">
        <v>5024</v>
      </c>
      <c r="C36" s="14" t="s">
        <v>5030</v>
      </c>
      <c r="D36" s="15" t="s">
        <v>30</v>
      </c>
      <c r="E36" s="13" t="s">
        <v>45</v>
      </c>
      <c r="F36" s="14" t="s">
        <v>5031</v>
      </c>
      <c r="G36" s="14" t="s">
        <v>5032</v>
      </c>
      <c r="H36" s="14" t="s">
        <v>5033</v>
      </c>
      <c r="I36" s="14"/>
      <c r="J36" s="16" t="s">
        <v>51</v>
      </c>
      <c r="K36" s="14"/>
    </row>
    <row r="37" spans="1:11" ht="42" customHeight="1">
      <c r="A37" s="13" t="s">
        <v>5034</v>
      </c>
      <c r="B37" s="14" t="s">
        <v>5024</v>
      </c>
      <c r="C37" s="14" t="s">
        <v>5035</v>
      </c>
      <c r="D37" s="15" t="s">
        <v>28</v>
      </c>
      <c r="E37" s="13" t="s">
        <v>46</v>
      </c>
      <c r="F37" s="14" t="s">
        <v>5036</v>
      </c>
      <c r="G37" s="14" t="s">
        <v>5037</v>
      </c>
      <c r="H37" s="14" t="s">
        <v>5038</v>
      </c>
      <c r="I37" s="14"/>
      <c r="J37" s="16" t="s">
        <v>51</v>
      </c>
      <c r="K37" s="14"/>
    </row>
    <row r="38" spans="1:11" ht="27.75" customHeight="1">
      <c r="A38" s="13" t="s">
        <v>5039</v>
      </c>
      <c r="B38" s="14" t="s">
        <v>5024</v>
      </c>
      <c r="C38" s="14" t="s">
        <v>5040</v>
      </c>
      <c r="D38" s="15" t="s">
        <v>28</v>
      </c>
      <c r="E38" s="13" t="s">
        <v>47</v>
      </c>
      <c r="F38" s="14" t="s">
        <v>5041</v>
      </c>
      <c r="G38" s="14" t="s">
        <v>109</v>
      </c>
      <c r="H38" s="14" t="s">
        <v>5042</v>
      </c>
      <c r="I38" s="14"/>
      <c r="J38" s="16" t="s">
        <v>51</v>
      </c>
      <c r="K38" s="14"/>
    </row>
    <row r="39" spans="1:11" ht="69.75" customHeight="1">
      <c r="A39" s="13" t="s">
        <v>5043</v>
      </c>
      <c r="B39" s="14" t="s">
        <v>5044</v>
      </c>
      <c r="C39" s="14" t="s">
        <v>5045</v>
      </c>
      <c r="D39" s="15" t="s">
        <v>28</v>
      </c>
      <c r="E39" s="13" t="s">
        <v>45</v>
      </c>
      <c r="F39" s="14" t="s">
        <v>5046</v>
      </c>
      <c r="G39" s="14" t="s">
        <v>5047</v>
      </c>
      <c r="H39" s="14" t="s">
        <v>5048</v>
      </c>
      <c r="I39" s="14"/>
      <c r="J39" s="16" t="s">
        <v>51</v>
      </c>
      <c r="K39" s="14"/>
    </row>
    <row r="40" spans="1:11" ht="27.75" customHeight="1">
      <c r="A40" s="13" t="s">
        <v>5049</v>
      </c>
      <c r="B40" s="14" t="s">
        <v>5044</v>
      </c>
      <c r="C40" s="14" t="s">
        <v>5050</v>
      </c>
      <c r="D40" s="15" t="s">
        <v>28</v>
      </c>
      <c r="E40" s="13" t="s">
        <v>46</v>
      </c>
      <c r="F40" s="14" t="s">
        <v>5051</v>
      </c>
      <c r="G40" s="14" t="s">
        <v>5052</v>
      </c>
      <c r="H40" s="14" t="s">
        <v>5053</v>
      </c>
      <c r="I40" s="14"/>
      <c r="J40" s="16" t="s">
        <v>51</v>
      </c>
      <c r="K40" s="14"/>
    </row>
    <row r="41" spans="1:11" ht="55.5" customHeight="1">
      <c r="A41" s="13" t="s">
        <v>5054</v>
      </c>
      <c r="B41" s="14" t="s">
        <v>5044</v>
      </c>
      <c r="C41" s="14" t="s">
        <v>5055</v>
      </c>
      <c r="D41" s="15" t="s">
        <v>30</v>
      </c>
      <c r="E41" s="13" t="s">
        <v>46</v>
      </c>
      <c r="F41" s="14" t="s">
        <v>5056</v>
      </c>
      <c r="G41" s="14" t="s">
        <v>109</v>
      </c>
      <c r="H41" s="14" t="s">
        <v>5057</v>
      </c>
      <c r="I41" s="14"/>
      <c r="J41" s="16" t="s">
        <v>51</v>
      </c>
      <c r="K41" s="14"/>
    </row>
    <row r="42" spans="1:11" ht="27.75" customHeight="1">
      <c r="A42" s="13" t="s">
        <v>5058</v>
      </c>
      <c r="B42" s="14" t="s">
        <v>5044</v>
      </c>
      <c r="C42" s="14" t="s">
        <v>5059</v>
      </c>
      <c r="D42" s="15" t="s">
        <v>28</v>
      </c>
      <c r="E42" s="13" t="s">
        <v>47</v>
      </c>
      <c r="F42" s="14" t="s">
        <v>5060</v>
      </c>
      <c r="G42" s="14" t="s">
        <v>109</v>
      </c>
      <c r="H42" s="14" t="s">
        <v>5061</v>
      </c>
      <c r="I42" s="14"/>
      <c r="J42" s="16" t="s">
        <v>51</v>
      </c>
      <c r="K42" s="14"/>
    </row>
    <row r="43" spans="1:11" ht="19.5" customHeight="1">
      <c r="A43" s="22" t="s">
        <v>5062</v>
      </c>
      <c r="B43" s="23"/>
      <c r="C43" s="23"/>
      <c r="D43" s="23"/>
      <c r="E43" s="23"/>
      <c r="F43" s="23"/>
      <c r="G43" s="23"/>
      <c r="H43" s="23"/>
      <c r="I43" s="23"/>
      <c r="J43" s="23"/>
      <c r="K43" s="23"/>
    </row>
    <row r="44" spans="1:11" ht="69.75" customHeight="1">
      <c r="A44" s="13" t="s">
        <v>5063</v>
      </c>
      <c r="B44" s="14" t="s">
        <v>5064</v>
      </c>
      <c r="C44" s="14" t="s">
        <v>5065</v>
      </c>
      <c r="D44" s="15" t="s">
        <v>28</v>
      </c>
      <c r="E44" s="13" t="s">
        <v>45</v>
      </c>
      <c r="F44" s="14" t="s">
        <v>5066</v>
      </c>
      <c r="G44" s="14" t="s">
        <v>5067</v>
      </c>
      <c r="H44" s="14" t="s">
        <v>5068</v>
      </c>
      <c r="I44" s="14"/>
      <c r="J44" s="16" t="s">
        <v>51</v>
      </c>
      <c r="K44" s="14"/>
    </row>
    <row r="45" spans="1:11" ht="27.75" customHeight="1">
      <c r="A45" s="13" t="s">
        <v>5069</v>
      </c>
      <c r="B45" s="14" t="s">
        <v>5064</v>
      </c>
      <c r="C45" s="14" t="s">
        <v>5070</v>
      </c>
      <c r="D45" s="15" t="s">
        <v>28</v>
      </c>
      <c r="E45" s="13" t="s">
        <v>45</v>
      </c>
      <c r="F45" s="14" t="s">
        <v>5071</v>
      </c>
      <c r="G45" s="14" t="s">
        <v>5072</v>
      </c>
      <c r="H45" s="14" t="s">
        <v>5073</v>
      </c>
      <c r="I45" s="14"/>
      <c r="J45" s="16" t="s">
        <v>51</v>
      </c>
      <c r="K45" s="14"/>
    </row>
    <row r="46" spans="1:11" ht="27.75" customHeight="1">
      <c r="A46" s="17" t="s">
        <v>5074</v>
      </c>
      <c r="B46" s="18" t="s">
        <v>5064</v>
      </c>
      <c r="C46" s="18" t="s">
        <v>5075</v>
      </c>
      <c r="D46" s="19" t="s">
        <v>31</v>
      </c>
      <c r="E46" s="17" t="s">
        <v>46</v>
      </c>
      <c r="F46" s="18" t="s">
        <v>5076</v>
      </c>
      <c r="G46" s="18" t="s">
        <v>5077</v>
      </c>
      <c r="H46" s="18" t="s">
        <v>5078</v>
      </c>
      <c r="I46" s="18"/>
      <c r="J46" s="16" t="s">
        <v>51</v>
      </c>
      <c r="K46" s="18"/>
    </row>
    <row r="47" spans="1:11" ht="55.5" customHeight="1">
      <c r="A47" s="13" t="s">
        <v>5079</v>
      </c>
      <c r="B47" s="14" t="s">
        <v>5064</v>
      </c>
      <c r="C47" s="14" t="s">
        <v>5080</v>
      </c>
      <c r="D47" s="15" t="s">
        <v>28</v>
      </c>
      <c r="E47" s="13" t="s">
        <v>45</v>
      </c>
      <c r="F47" s="14" t="s">
        <v>5081</v>
      </c>
      <c r="G47" s="14" t="s">
        <v>5082</v>
      </c>
      <c r="H47" s="14" t="s">
        <v>5083</v>
      </c>
      <c r="I47" s="14"/>
      <c r="J47" s="16" t="s">
        <v>51</v>
      </c>
      <c r="K47" s="14"/>
    </row>
    <row r="48" spans="1:11" ht="111.75" customHeight="1">
      <c r="A48" s="13" t="s">
        <v>5084</v>
      </c>
      <c r="B48" s="14" t="s">
        <v>5064</v>
      </c>
      <c r="C48" s="14" t="s">
        <v>3512</v>
      </c>
      <c r="D48" s="15" t="s">
        <v>28</v>
      </c>
      <c r="E48" s="13" t="s">
        <v>46</v>
      </c>
      <c r="F48" s="14" t="s">
        <v>5085</v>
      </c>
      <c r="G48" s="14" t="s">
        <v>109</v>
      </c>
      <c r="H48" s="14" t="s">
        <v>5086</v>
      </c>
      <c r="I48" s="14"/>
      <c r="J48" s="16" t="s">
        <v>51</v>
      </c>
      <c r="K48" s="14"/>
    </row>
    <row r="49" spans="1:11" ht="55.5" customHeight="1">
      <c r="A49" s="13" t="s">
        <v>5087</v>
      </c>
      <c r="B49" s="14" t="s">
        <v>5064</v>
      </c>
      <c r="C49" s="14" t="s">
        <v>5088</v>
      </c>
      <c r="D49" s="15" t="s">
        <v>30</v>
      </c>
      <c r="E49" s="13" t="s">
        <v>45</v>
      </c>
      <c r="F49" s="14" t="s">
        <v>5089</v>
      </c>
      <c r="G49" s="14" t="s">
        <v>5090</v>
      </c>
      <c r="H49" s="14" t="s">
        <v>5091</v>
      </c>
      <c r="I49" s="14"/>
      <c r="J49" s="16" t="s">
        <v>51</v>
      </c>
      <c r="K49" s="14"/>
    </row>
    <row r="50" spans="1:11" ht="42" customHeight="1">
      <c r="A50" s="13" t="s">
        <v>5092</v>
      </c>
      <c r="B50" s="14" t="s">
        <v>5064</v>
      </c>
      <c r="C50" s="14" t="s">
        <v>5093</v>
      </c>
      <c r="D50" s="15" t="s">
        <v>30</v>
      </c>
      <c r="E50" s="13" t="s">
        <v>46</v>
      </c>
      <c r="F50" s="14" t="s">
        <v>5094</v>
      </c>
      <c r="G50" s="14" t="s">
        <v>5095</v>
      </c>
      <c r="H50" s="14" t="s">
        <v>5096</v>
      </c>
      <c r="I50" s="14"/>
      <c r="J50" s="16" t="s">
        <v>51</v>
      </c>
      <c r="K50" s="14"/>
    </row>
    <row r="51" spans="1:11" ht="27.75" customHeight="1">
      <c r="A51" s="13" t="s">
        <v>5097</v>
      </c>
      <c r="B51" s="14" t="s">
        <v>5098</v>
      </c>
      <c r="C51" s="14" t="s">
        <v>5099</v>
      </c>
      <c r="D51" s="15" t="s">
        <v>28</v>
      </c>
      <c r="E51" s="13" t="s">
        <v>45</v>
      </c>
      <c r="F51" s="14" t="s">
        <v>5100</v>
      </c>
      <c r="G51" s="14" t="s">
        <v>109</v>
      </c>
      <c r="H51" s="14" t="s">
        <v>5101</v>
      </c>
      <c r="I51" s="14"/>
      <c r="J51" s="16" t="s">
        <v>51</v>
      </c>
      <c r="K51" s="14"/>
    </row>
    <row r="52" spans="1:11" ht="27.75" customHeight="1">
      <c r="A52" s="13" t="s">
        <v>5102</v>
      </c>
      <c r="B52" s="14" t="s">
        <v>5098</v>
      </c>
      <c r="C52" s="14" t="s">
        <v>5103</v>
      </c>
      <c r="D52" s="15" t="s">
        <v>28</v>
      </c>
      <c r="E52" s="13" t="s">
        <v>46</v>
      </c>
      <c r="F52" s="14" t="s">
        <v>5104</v>
      </c>
      <c r="G52" s="14" t="s">
        <v>109</v>
      </c>
      <c r="H52" s="14" t="s">
        <v>5105</v>
      </c>
      <c r="I52" s="14"/>
      <c r="J52" s="16" t="s">
        <v>51</v>
      </c>
      <c r="K52" s="14"/>
    </row>
    <row r="53" spans="1:11" ht="42" customHeight="1">
      <c r="A53" s="13" t="s">
        <v>5106</v>
      </c>
      <c r="B53" s="14" t="s">
        <v>5098</v>
      </c>
      <c r="C53" s="14" t="s">
        <v>5107</v>
      </c>
      <c r="D53" s="15" t="s">
        <v>28</v>
      </c>
      <c r="E53" s="13" t="s">
        <v>45</v>
      </c>
      <c r="F53" s="14" t="s">
        <v>5108</v>
      </c>
      <c r="G53" s="14" t="s">
        <v>5109</v>
      </c>
      <c r="H53" s="14" t="s">
        <v>5110</v>
      </c>
      <c r="I53" s="14"/>
      <c r="J53" s="16" t="s">
        <v>51</v>
      </c>
      <c r="K53" s="14"/>
    </row>
    <row r="54" spans="1:11" ht="42" customHeight="1">
      <c r="A54" s="17" t="s">
        <v>5111</v>
      </c>
      <c r="B54" s="18" t="s">
        <v>5098</v>
      </c>
      <c r="C54" s="18" t="s">
        <v>5112</v>
      </c>
      <c r="D54" s="19" t="s">
        <v>31</v>
      </c>
      <c r="E54" s="17" t="s">
        <v>45</v>
      </c>
      <c r="F54" s="18" t="s">
        <v>5113</v>
      </c>
      <c r="G54" s="18" t="s">
        <v>5114</v>
      </c>
      <c r="H54" s="18" t="s">
        <v>5115</v>
      </c>
      <c r="I54" s="18"/>
      <c r="J54" s="16" t="s">
        <v>51</v>
      </c>
      <c r="K54" s="18"/>
    </row>
    <row r="55" spans="1:11" ht="27.75" customHeight="1">
      <c r="A55" s="17" t="s">
        <v>5116</v>
      </c>
      <c r="B55" s="18" t="s">
        <v>5098</v>
      </c>
      <c r="C55" s="18" t="s">
        <v>5117</v>
      </c>
      <c r="D55" s="19" t="s">
        <v>31</v>
      </c>
      <c r="E55" s="17" t="s">
        <v>46</v>
      </c>
      <c r="F55" s="18" t="s">
        <v>5118</v>
      </c>
      <c r="G55" s="18" t="s">
        <v>3997</v>
      </c>
      <c r="H55" s="18" t="s">
        <v>5119</v>
      </c>
      <c r="I55" s="18"/>
      <c r="J55" s="16" t="s">
        <v>51</v>
      </c>
      <c r="K55" s="18"/>
    </row>
    <row r="56" spans="1:11" ht="42" customHeight="1">
      <c r="A56" s="17" t="s">
        <v>5120</v>
      </c>
      <c r="B56" s="18" t="s">
        <v>5098</v>
      </c>
      <c r="C56" s="18" t="s">
        <v>5121</v>
      </c>
      <c r="D56" s="19" t="s">
        <v>31</v>
      </c>
      <c r="E56" s="17" t="s">
        <v>47</v>
      </c>
      <c r="F56" s="18" t="s">
        <v>5122</v>
      </c>
      <c r="G56" s="18" t="s">
        <v>5123</v>
      </c>
      <c r="H56" s="18" t="s">
        <v>5124</v>
      </c>
      <c r="I56" s="18"/>
      <c r="J56" s="16" t="s">
        <v>51</v>
      </c>
      <c r="K56" s="18"/>
    </row>
    <row r="57" spans="1:11" ht="42" customHeight="1">
      <c r="A57" s="13" t="s">
        <v>5125</v>
      </c>
      <c r="B57" s="14" t="s">
        <v>5064</v>
      </c>
      <c r="C57" s="14" t="s">
        <v>5126</v>
      </c>
      <c r="D57" s="15" t="s">
        <v>28</v>
      </c>
      <c r="E57" s="13" t="s">
        <v>46</v>
      </c>
      <c r="F57" s="14" t="s">
        <v>5127</v>
      </c>
      <c r="G57" s="14" t="s">
        <v>5128</v>
      </c>
      <c r="H57" s="14" t="s">
        <v>5129</v>
      </c>
      <c r="I57" s="14"/>
      <c r="J57" s="16" t="s">
        <v>51</v>
      </c>
      <c r="K57" s="14"/>
    </row>
    <row r="58" spans="1:11" ht="42" customHeight="1">
      <c r="A58" s="13" t="s">
        <v>5130</v>
      </c>
      <c r="B58" s="14" t="s">
        <v>5064</v>
      </c>
      <c r="C58" s="14" t="s">
        <v>5131</v>
      </c>
      <c r="D58" s="15" t="s">
        <v>28</v>
      </c>
      <c r="E58" s="13" t="s">
        <v>47</v>
      </c>
      <c r="F58" s="14" t="s">
        <v>5132</v>
      </c>
      <c r="G58" s="14" t="s">
        <v>109</v>
      </c>
      <c r="H58" s="14" t="s">
        <v>5133</v>
      </c>
      <c r="I58" s="14"/>
      <c r="J58" s="16" t="s">
        <v>51</v>
      </c>
      <c r="K58" s="14" t="s">
        <v>5134</v>
      </c>
    </row>
    <row r="59" spans="1:11" ht="19.5" customHeight="1">
      <c r="A59" s="22" t="s">
        <v>5135</v>
      </c>
      <c r="B59" s="23"/>
      <c r="C59" s="23"/>
      <c r="D59" s="23"/>
      <c r="E59" s="23"/>
      <c r="F59" s="23"/>
      <c r="G59" s="23"/>
      <c r="H59" s="23"/>
      <c r="I59" s="23"/>
      <c r="J59" s="23"/>
      <c r="K59" s="23"/>
    </row>
    <row r="60" spans="1:11" ht="69.75" customHeight="1">
      <c r="A60" s="13" t="s">
        <v>5136</v>
      </c>
      <c r="B60" s="14" t="s">
        <v>5137</v>
      </c>
      <c r="C60" s="14" t="s">
        <v>5138</v>
      </c>
      <c r="D60" s="15" t="s">
        <v>34</v>
      </c>
      <c r="E60" s="13" t="s">
        <v>45</v>
      </c>
      <c r="F60" s="14" t="s">
        <v>5139</v>
      </c>
      <c r="G60" s="14" t="s">
        <v>5140</v>
      </c>
      <c r="H60" s="14" t="s">
        <v>5141</v>
      </c>
      <c r="I60" s="14"/>
      <c r="J60" s="16" t="s">
        <v>51</v>
      </c>
      <c r="K60" s="14"/>
    </row>
    <row r="61" spans="1:11" ht="55.5" customHeight="1">
      <c r="A61" s="17" t="s">
        <v>5142</v>
      </c>
      <c r="B61" s="18" t="s">
        <v>5137</v>
      </c>
      <c r="C61" s="18" t="s">
        <v>5143</v>
      </c>
      <c r="D61" s="19" t="s">
        <v>35</v>
      </c>
      <c r="E61" s="17" t="s">
        <v>46</v>
      </c>
      <c r="F61" s="18" t="s">
        <v>5144</v>
      </c>
      <c r="G61" s="18" t="s">
        <v>5145</v>
      </c>
      <c r="H61" s="18" t="s">
        <v>5146</v>
      </c>
      <c r="I61" s="18"/>
      <c r="J61" s="16" t="s">
        <v>51</v>
      </c>
      <c r="K61" s="18" t="s">
        <v>5147</v>
      </c>
    </row>
    <row r="62" spans="1:11" ht="55.5" customHeight="1">
      <c r="A62" s="13" t="s">
        <v>5148</v>
      </c>
      <c r="B62" s="14" t="s">
        <v>5149</v>
      </c>
      <c r="C62" s="14" t="s">
        <v>5150</v>
      </c>
      <c r="D62" s="15" t="s">
        <v>34</v>
      </c>
      <c r="E62" s="13" t="s">
        <v>45</v>
      </c>
      <c r="F62" s="14" t="s">
        <v>5151</v>
      </c>
      <c r="G62" s="14" t="s">
        <v>5152</v>
      </c>
      <c r="H62" s="14" t="s">
        <v>5153</v>
      </c>
      <c r="I62" s="14"/>
      <c r="J62" s="16" t="s">
        <v>51</v>
      </c>
      <c r="K62" s="14"/>
    </row>
    <row r="63" spans="1:11" ht="42" customHeight="1">
      <c r="A63" s="13" t="s">
        <v>5154</v>
      </c>
      <c r="B63" s="14" t="s">
        <v>5149</v>
      </c>
      <c r="C63" s="14" t="s">
        <v>5155</v>
      </c>
      <c r="D63" s="15" t="s">
        <v>34</v>
      </c>
      <c r="E63" s="13" t="s">
        <v>45</v>
      </c>
      <c r="F63" s="14" t="s">
        <v>5156</v>
      </c>
      <c r="G63" s="14" t="s">
        <v>5157</v>
      </c>
      <c r="H63" s="14" t="s">
        <v>5158</v>
      </c>
      <c r="I63" s="14"/>
      <c r="J63" s="16" t="s">
        <v>51</v>
      </c>
      <c r="K63" s="14"/>
    </row>
    <row r="64" spans="1:11" ht="69.75" customHeight="1">
      <c r="A64" s="13" t="s">
        <v>5159</v>
      </c>
      <c r="B64" s="14" t="s">
        <v>5149</v>
      </c>
      <c r="C64" s="14" t="s">
        <v>5160</v>
      </c>
      <c r="D64" s="15" t="s">
        <v>34</v>
      </c>
      <c r="E64" s="13" t="s">
        <v>46</v>
      </c>
      <c r="F64" s="14" t="s">
        <v>5161</v>
      </c>
      <c r="G64" s="14" t="s">
        <v>5162</v>
      </c>
      <c r="H64" s="14" t="s">
        <v>5163</v>
      </c>
      <c r="I64" s="14"/>
      <c r="J64" s="16" t="s">
        <v>51</v>
      </c>
      <c r="K64" s="14" t="s">
        <v>5164</v>
      </c>
    </row>
    <row r="65" spans="1:11" ht="97.5" customHeight="1">
      <c r="A65" s="13" t="s">
        <v>5165</v>
      </c>
      <c r="B65" s="14" t="s">
        <v>5166</v>
      </c>
      <c r="C65" s="14" t="s">
        <v>5167</v>
      </c>
      <c r="D65" s="15" t="s">
        <v>34</v>
      </c>
      <c r="E65" s="13" t="s">
        <v>45</v>
      </c>
      <c r="F65" s="14" t="s">
        <v>5168</v>
      </c>
      <c r="G65" s="14" t="s">
        <v>5169</v>
      </c>
      <c r="H65" s="14" t="s">
        <v>5170</v>
      </c>
      <c r="I65" s="14"/>
      <c r="J65" s="16" t="s">
        <v>51</v>
      </c>
      <c r="K65" s="14" t="s">
        <v>5171</v>
      </c>
    </row>
    <row r="66" spans="1:11" ht="42" customHeight="1">
      <c r="A66" s="13" t="s">
        <v>5172</v>
      </c>
      <c r="B66" s="14" t="s">
        <v>5166</v>
      </c>
      <c r="C66" s="14" t="s">
        <v>5173</v>
      </c>
      <c r="D66" s="15" t="s">
        <v>34</v>
      </c>
      <c r="E66" s="13" t="s">
        <v>45</v>
      </c>
      <c r="F66" s="14" t="s">
        <v>5174</v>
      </c>
      <c r="G66" s="14" t="s">
        <v>5175</v>
      </c>
      <c r="H66" s="14" t="s">
        <v>5176</v>
      </c>
      <c r="I66" s="14"/>
      <c r="J66" s="16" t="s">
        <v>51</v>
      </c>
      <c r="K66" s="14"/>
    </row>
    <row r="67" spans="1:11" ht="84" customHeight="1">
      <c r="A67" s="13" t="s">
        <v>5177</v>
      </c>
      <c r="B67" s="14" t="s">
        <v>5178</v>
      </c>
      <c r="C67" s="14" t="s">
        <v>5179</v>
      </c>
      <c r="D67" s="15" t="s">
        <v>34</v>
      </c>
      <c r="E67" s="13" t="s">
        <v>45</v>
      </c>
      <c r="F67" s="14" t="s">
        <v>5180</v>
      </c>
      <c r="G67" s="14" t="s">
        <v>5181</v>
      </c>
      <c r="H67" s="14" t="s">
        <v>5182</v>
      </c>
      <c r="I67" s="14"/>
      <c r="J67" s="16" t="s">
        <v>51</v>
      </c>
      <c r="K67" s="14"/>
    </row>
    <row r="68" spans="1:11" ht="42" customHeight="1">
      <c r="A68" s="17" t="s">
        <v>5183</v>
      </c>
      <c r="B68" s="18" t="s">
        <v>5178</v>
      </c>
      <c r="C68" s="18" t="s">
        <v>5184</v>
      </c>
      <c r="D68" s="19" t="s">
        <v>35</v>
      </c>
      <c r="E68" s="17" t="s">
        <v>45</v>
      </c>
      <c r="F68" s="18" t="s">
        <v>5185</v>
      </c>
      <c r="G68" s="18" t="s">
        <v>5186</v>
      </c>
      <c r="H68" s="18" t="s">
        <v>5187</v>
      </c>
      <c r="I68" s="18"/>
      <c r="J68" s="16" t="s">
        <v>51</v>
      </c>
      <c r="K68" s="18"/>
    </row>
    <row r="69" spans="1:11" ht="42" customHeight="1">
      <c r="A69" s="17" t="s">
        <v>5188</v>
      </c>
      <c r="B69" s="18" t="s">
        <v>5178</v>
      </c>
      <c r="C69" s="18" t="s">
        <v>5189</v>
      </c>
      <c r="D69" s="19" t="s">
        <v>35</v>
      </c>
      <c r="E69" s="17" t="s">
        <v>46</v>
      </c>
      <c r="F69" s="18" t="s">
        <v>5190</v>
      </c>
      <c r="G69" s="18" t="s">
        <v>5191</v>
      </c>
      <c r="H69" s="18" t="s">
        <v>5192</v>
      </c>
      <c r="I69" s="18"/>
      <c r="J69" s="16" t="s">
        <v>51</v>
      </c>
      <c r="K69" s="18"/>
    </row>
    <row r="70" spans="1:11" ht="69.75" customHeight="1">
      <c r="A70" s="13" t="s">
        <v>5193</v>
      </c>
      <c r="B70" s="14" t="s">
        <v>5194</v>
      </c>
      <c r="C70" s="14" t="s">
        <v>5195</v>
      </c>
      <c r="D70" s="15" t="s">
        <v>34</v>
      </c>
      <c r="E70" s="13" t="s">
        <v>45</v>
      </c>
      <c r="F70" s="14" t="s">
        <v>5196</v>
      </c>
      <c r="G70" s="14" t="s">
        <v>109</v>
      </c>
      <c r="H70" s="14" t="s">
        <v>5197</v>
      </c>
      <c r="I70" s="14"/>
      <c r="J70" s="16" t="s">
        <v>51</v>
      </c>
      <c r="K70" s="14"/>
    </row>
    <row r="71" spans="1:11" ht="55.5" customHeight="1">
      <c r="A71" s="13" t="s">
        <v>5198</v>
      </c>
      <c r="B71" s="14" t="s">
        <v>5194</v>
      </c>
      <c r="C71" s="14" t="s">
        <v>5199</v>
      </c>
      <c r="D71" s="15" t="s">
        <v>34</v>
      </c>
      <c r="E71" s="13" t="s">
        <v>46</v>
      </c>
      <c r="F71" s="14" t="s">
        <v>5200</v>
      </c>
      <c r="G71" s="14" t="s">
        <v>5201</v>
      </c>
      <c r="H71" s="14" t="s">
        <v>5202</v>
      </c>
      <c r="I71" s="14"/>
      <c r="J71" s="16" t="s">
        <v>51</v>
      </c>
      <c r="K71" s="14"/>
    </row>
    <row r="72" spans="1:11" ht="55.5" customHeight="1">
      <c r="A72" s="13" t="s">
        <v>5203</v>
      </c>
      <c r="B72" s="14" t="s">
        <v>5204</v>
      </c>
      <c r="C72" s="14" t="s">
        <v>5205</v>
      </c>
      <c r="D72" s="15" t="s">
        <v>34</v>
      </c>
      <c r="E72" s="13" t="s">
        <v>46</v>
      </c>
      <c r="F72" s="14" t="s">
        <v>5206</v>
      </c>
      <c r="G72" s="14" t="s">
        <v>5207</v>
      </c>
      <c r="H72" s="14" t="s">
        <v>5208</v>
      </c>
      <c r="I72" s="14"/>
      <c r="J72" s="16" t="s">
        <v>51</v>
      </c>
      <c r="K72" s="14"/>
    </row>
    <row r="73" spans="1:11" ht="69.75" customHeight="1">
      <c r="A73" s="13" t="s">
        <v>5209</v>
      </c>
      <c r="B73" s="14" t="s">
        <v>5204</v>
      </c>
      <c r="C73" s="14" t="s">
        <v>5210</v>
      </c>
      <c r="D73" s="15" t="s">
        <v>34</v>
      </c>
      <c r="E73" s="13" t="s">
        <v>46</v>
      </c>
      <c r="F73" s="14" t="s">
        <v>5211</v>
      </c>
      <c r="G73" s="14" t="s">
        <v>5212</v>
      </c>
      <c r="H73" s="14" t="s">
        <v>5213</v>
      </c>
      <c r="I73" s="14"/>
      <c r="J73" s="16" t="s">
        <v>51</v>
      </c>
      <c r="K73" s="14"/>
    </row>
    <row r="74" spans="1:11" ht="84" customHeight="1">
      <c r="A74" s="13" t="s">
        <v>5214</v>
      </c>
      <c r="B74" s="14" t="s">
        <v>5215</v>
      </c>
      <c r="C74" s="14" t="s">
        <v>5216</v>
      </c>
      <c r="D74" s="15" t="s">
        <v>34</v>
      </c>
      <c r="E74" s="13" t="s">
        <v>45</v>
      </c>
      <c r="F74" s="14" t="s">
        <v>5217</v>
      </c>
      <c r="G74" s="14" t="s">
        <v>109</v>
      </c>
      <c r="H74" s="14" t="s">
        <v>5218</v>
      </c>
      <c r="I74" s="14"/>
      <c r="J74" s="16" t="s">
        <v>51</v>
      </c>
      <c r="K74" s="14"/>
    </row>
    <row r="75" spans="1:11" ht="55.5" customHeight="1">
      <c r="A75" s="13" t="s">
        <v>5219</v>
      </c>
      <c r="B75" s="14" t="s">
        <v>5220</v>
      </c>
      <c r="C75" s="14" t="s">
        <v>5221</v>
      </c>
      <c r="D75" s="15" t="s">
        <v>34</v>
      </c>
      <c r="E75" s="13" t="s">
        <v>45</v>
      </c>
      <c r="F75" s="14" t="s">
        <v>5222</v>
      </c>
      <c r="G75" s="14" t="s">
        <v>5223</v>
      </c>
      <c r="H75" s="14" t="s">
        <v>5224</v>
      </c>
      <c r="I75" s="14"/>
      <c r="J75" s="16" t="s">
        <v>51</v>
      </c>
      <c r="K75" s="14"/>
    </row>
    <row r="76" spans="1:11" ht="42" customHeight="1">
      <c r="A76" s="17" t="s">
        <v>5225</v>
      </c>
      <c r="B76" s="18" t="s">
        <v>5220</v>
      </c>
      <c r="C76" s="18" t="s">
        <v>5226</v>
      </c>
      <c r="D76" s="19" t="s">
        <v>35</v>
      </c>
      <c r="E76" s="17" t="s">
        <v>46</v>
      </c>
      <c r="F76" s="18" t="s">
        <v>5227</v>
      </c>
      <c r="G76" s="18" t="s">
        <v>5228</v>
      </c>
      <c r="H76" s="18" t="s">
        <v>5229</v>
      </c>
      <c r="I76" s="18"/>
      <c r="J76" s="16" t="s">
        <v>51</v>
      </c>
      <c r="K76" s="18"/>
    </row>
    <row r="77" spans="1:11" ht="69.75" customHeight="1">
      <c r="A77" s="13" t="s">
        <v>5230</v>
      </c>
      <c r="B77" s="14" t="s">
        <v>5220</v>
      </c>
      <c r="C77" s="14" t="s">
        <v>5231</v>
      </c>
      <c r="D77" s="15" t="s">
        <v>34</v>
      </c>
      <c r="E77" s="13" t="s">
        <v>45</v>
      </c>
      <c r="F77" s="14" t="s">
        <v>5031</v>
      </c>
      <c r="G77" s="14" t="s">
        <v>5032</v>
      </c>
      <c r="H77" s="14" t="s">
        <v>5232</v>
      </c>
      <c r="I77" s="14"/>
      <c r="J77" s="16" t="s">
        <v>51</v>
      </c>
      <c r="K77" s="14" t="s">
        <v>5233</v>
      </c>
    </row>
    <row r="78" spans="1:11" ht="55.5" customHeight="1">
      <c r="A78" s="13" t="s">
        <v>5234</v>
      </c>
      <c r="B78" s="14" t="s">
        <v>5235</v>
      </c>
      <c r="C78" s="14" t="s">
        <v>5236</v>
      </c>
      <c r="D78" s="15" t="s">
        <v>34</v>
      </c>
      <c r="E78" s="13" t="s">
        <v>45</v>
      </c>
      <c r="F78" s="14" t="s">
        <v>5237</v>
      </c>
      <c r="G78" s="14" t="s">
        <v>5238</v>
      </c>
      <c r="H78" s="14" t="s">
        <v>5239</v>
      </c>
      <c r="I78" s="14"/>
      <c r="J78" s="16" t="s">
        <v>51</v>
      </c>
      <c r="K78" s="14"/>
    </row>
    <row r="79" spans="1:11" ht="69.75" customHeight="1">
      <c r="A79" s="13" t="s">
        <v>5240</v>
      </c>
      <c r="B79" s="14" t="s">
        <v>5241</v>
      </c>
      <c r="C79" s="14" t="s">
        <v>5242</v>
      </c>
      <c r="D79" s="15" t="s">
        <v>34</v>
      </c>
      <c r="E79" s="13" t="s">
        <v>47</v>
      </c>
      <c r="F79" s="14" t="s">
        <v>5243</v>
      </c>
      <c r="G79" s="14" t="s">
        <v>5244</v>
      </c>
      <c r="H79" s="14" t="s">
        <v>5245</v>
      </c>
      <c r="I79" s="14"/>
      <c r="J79" s="16" t="s">
        <v>51</v>
      </c>
      <c r="K79" s="14"/>
    </row>
    <row r="80" spans="1:11" ht="69.75" customHeight="1">
      <c r="A80" s="17" t="s">
        <v>5246</v>
      </c>
      <c r="B80" s="18" t="s">
        <v>5241</v>
      </c>
      <c r="C80" s="18" t="s">
        <v>5247</v>
      </c>
      <c r="D80" s="19" t="s">
        <v>35</v>
      </c>
      <c r="E80" s="17" t="s">
        <v>47</v>
      </c>
      <c r="F80" s="18" t="s">
        <v>5248</v>
      </c>
      <c r="G80" s="18" t="s">
        <v>5249</v>
      </c>
      <c r="H80" s="18" t="s">
        <v>5250</v>
      </c>
      <c r="I80" s="18"/>
      <c r="J80" s="16" t="s">
        <v>51</v>
      </c>
      <c r="K80" s="18" t="s">
        <v>5251</v>
      </c>
    </row>
    <row r="81" spans="1:11" ht="19.5" customHeight="1">
      <c r="A81" s="22" t="s">
        <v>5252</v>
      </c>
      <c r="B81" s="23"/>
      <c r="C81" s="23"/>
      <c r="D81" s="23"/>
      <c r="E81" s="23"/>
      <c r="F81" s="23"/>
      <c r="G81" s="23"/>
      <c r="H81" s="23"/>
      <c r="I81" s="23"/>
      <c r="J81" s="23"/>
      <c r="K81" s="23"/>
    </row>
    <row r="82" spans="1:11" ht="42" customHeight="1">
      <c r="A82" s="13" t="s">
        <v>5253</v>
      </c>
      <c r="B82" s="14" t="s">
        <v>5254</v>
      </c>
      <c r="C82" s="14" t="s">
        <v>5255</v>
      </c>
      <c r="D82" s="15" t="s">
        <v>28</v>
      </c>
      <c r="E82" s="13" t="s">
        <v>46</v>
      </c>
      <c r="F82" s="14" t="s">
        <v>5256</v>
      </c>
      <c r="G82" s="14" t="s">
        <v>109</v>
      </c>
      <c r="H82" s="14" t="s">
        <v>5257</v>
      </c>
      <c r="I82" s="14"/>
      <c r="J82" s="16" t="s">
        <v>51</v>
      </c>
      <c r="K82" s="14" t="s">
        <v>5258</v>
      </c>
    </row>
    <row r="83" spans="1:11" ht="42" customHeight="1">
      <c r="A83" s="17" t="s">
        <v>5259</v>
      </c>
      <c r="B83" s="18" t="s">
        <v>5254</v>
      </c>
      <c r="C83" s="18" t="s">
        <v>5260</v>
      </c>
      <c r="D83" s="19" t="s">
        <v>31</v>
      </c>
      <c r="E83" s="17" t="s">
        <v>47</v>
      </c>
      <c r="F83" s="18" t="s">
        <v>5261</v>
      </c>
      <c r="G83" s="18" t="s">
        <v>109</v>
      </c>
      <c r="H83" s="18" t="s">
        <v>5262</v>
      </c>
      <c r="I83" s="18"/>
      <c r="J83" s="16" t="s">
        <v>51</v>
      </c>
      <c r="K83" s="18" t="s">
        <v>5263</v>
      </c>
    </row>
  </sheetData>
  <autoFilter ref="A1:K83" xr:uid="{00000000-0009-0000-0000-00000D000000}"/>
  <dataValidations count="3">
    <dataValidation type="list" allowBlank="1" sqref="D2:D83" xr:uid="{00000000-0002-0000-0D00-000000000000}">
      <formula1>"Positive,Negative,Functional - Positive,Functional - Negative,Validation - Positive,Validation - Negative,Defect - Functional,Defect - Validation"</formula1>
      <formula2>0</formula2>
    </dataValidation>
    <dataValidation type="list" allowBlank="1" sqref="E2:E83" xr:uid="{00000000-0002-0000-0D00-000001000000}">
      <formula1>"High,Medium,Low"</formula1>
      <formula2>0</formula2>
    </dataValidation>
    <dataValidation type="list" allowBlank="1" sqref="J2:J83" xr:uid="{00000000-0002-0000-0D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3"/>
  <sheetViews>
    <sheetView zoomScaleNormal="100" workbookViewId="0">
      <selection activeCell="C1" sqref="C1"/>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27" t="s">
        <v>79</v>
      </c>
      <c r="B1" s="27" t="s">
        <v>80</v>
      </c>
      <c r="C1" s="27" t="s">
        <v>81</v>
      </c>
      <c r="D1" s="27" t="s">
        <v>82</v>
      </c>
      <c r="E1" s="27" t="s">
        <v>83</v>
      </c>
      <c r="F1" s="27" t="s">
        <v>84</v>
      </c>
      <c r="G1" s="27" t="s">
        <v>85</v>
      </c>
      <c r="H1" s="27" t="s">
        <v>86</v>
      </c>
      <c r="I1" s="27" t="s">
        <v>87</v>
      </c>
      <c r="J1" s="27" t="s">
        <v>88</v>
      </c>
      <c r="K1" s="27" t="s">
        <v>89</v>
      </c>
    </row>
    <row r="2" spans="1:11" ht="84" customHeight="1">
      <c r="A2" s="13" t="s">
        <v>5264</v>
      </c>
      <c r="B2" s="14" t="s">
        <v>5265</v>
      </c>
      <c r="C2" s="14" t="s">
        <v>5266</v>
      </c>
      <c r="D2" s="15" t="s">
        <v>32</v>
      </c>
      <c r="E2" s="13" t="s">
        <v>45</v>
      </c>
      <c r="F2" s="14" t="s">
        <v>5267</v>
      </c>
      <c r="G2" s="14" t="s">
        <v>5268</v>
      </c>
      <c r="H2" s="14" t="s">
        <v>5269</v>
      </c>
      <c r="I2" s="14"/>
      <c r="J2" s="16" t="s">
        <v>51</v>
      </c>
      <c r="K2" s="14"/>
    </row>
    <row r="3" spans="1:11" ht="84" customHeight="1">
      <c r="A3" s="13" t="s">
        <v>5270</v>
      </c>
      <c r="B3" s="14" t="s">
        <v>5265</v>
      </c>
      <c r="C3" s="14" t="s">
        <v>5271</v>
      </c>
      <c r="D3" s="15" t="s">
        <v>32</v>
      </c>
      <c r="E3" s="13" t="s">
        <v>45</v>
      </c>
      <c r="F3" s="14" t="s">
        <v>5272</v>
      </c>
      <c r="G3" s="14" t="s">
        <v>109</v>
      </c>
      <c r="H3" s="14" t="s">
        <v>5273</v>
      </c>
      <c r="I3" s="14"/>
      <c r="J3" s="16" t="s">
        <v>51</v>
      </c>
      <c r="K3" s="14"/>
    </row>
    <row r="4" spans="1:11" ht="97.5" customHeight="1">
      <c r="A4" s="13" t="s">
        <v>5274</v>
      </c>
      <c r="B4" s="14" t="s">
        <v>5265</v>
      </c>
      <c r="C4" s="14" t="s">
        <v>5275</v>
      </c>
      <c r="D4" s="15" t="s">
        <v>32</v>
      </c>
      <c r="E4" s="13" t="s">
        <v>46</v>
      </c>
      <c r="F4" s="14" t="s">
        <v>5276</v>
      </c>
      <c r="G4" s="14" t="s">
        <v>109</v>
      </c>
      <c r="H4" s="14" t="s">
        <v>5277</v>
      </c>
      <c r="I4" s="14"/>
      <c r="J4" s="16" t="s">
        <v>51</v>
      </c>
      <c r="K4" s="14"/>
    </row>
    <row r="5" spans="1:11" ht="84" customHeight="1">
      <c r="A5" s="13" t="s">
        <v>5278</v>
      </c>
      <c r="B5" s="14" t="s">
        <v>5279</v>
      </c>
      <c r="C5" s="14" t="s">
        <v>5280</v>
      </c>
      <c r="D5" s="15" t="s">
        <v>32</v>
      </c>
      <c r="E5" s="13" t="s">
        <v>45</v>
      </c>
      <c r="F5" s="14" t="s">
        <v>5281</v>
      </c>
      <c r="G5" s="14" t="s">
        <v>5282</v>
      </c>
      <c r="H5" s="14" t="s">
        <v>5283</v>
      </c>
      <c r="I5" s="14"/>
      <c r="J5" s="16" t="s">
        <v>51</v>
      </c>
      <c r="K5" s="14"/>
    </row>
    <row r="6" spans="1:11" ht="69.75" customHeight="1">
      <c r="A6" s="17" t="s">
        <v>5284</v>
      </c>
      <c r="B6" s="18" t="s">
        <v>5279</v>
      </c>
      <c r="C6" s="18" t="s">
        <v>5285</v>
      </c>
      <c r="D6" s="19" t="s">
        <v>33</v>
      </c>
      <c r="E6" s="17" t="s">
        <v>46</v>
      </c>
      <c r="F6" s="18" t="s">
        <v>5286</v>
      </c>
      <c r="G6" s="18" t="s">
        <v>5287</v>
      </c>
      <c r="H6" s="18" t="s">
        <v>5288</v>
      </c>
      <c r="I6" s="18"/>
      <c r="J6" s="16" t="s">
        <v>51</v>
      </c>
      <c r="K6" s="18"/>
    </row>
    <row r="7" spans="1:11" ht="69.75" customHeight="1">
      <c r="A7" s="13" t="s">
        <v>5289</v>
      </c>
      <c r="B7" s="14" t="s">
        <v>5290</v>
      </c>
      <c r="C7" s="14" t="s">
        <v>5291</v>
      </c>
      <c r="D7" s="15" t="s">
        <v>32</v>
      </c>
      <c r="E7" s="13" t="s">
        <v>46</v>
      </c>
      <c r="F7" s="14" t="s">
        <v>5292</v>
      </c>
      <c r="G7" s="14" t="s">
        <v>109</v>
      </c>
      <c r="H7" s="14" t="s">
        <v>5293</v>
      </c>
      <c r="I7" s="14"/>
      <c r="J7" s="16" t="s">
        <v>51</v>
      </c>
      <c r="K7" s="14"/>
    </row>
    <row r="8" spans="1:11" ht="84" customHeight="1">
      <c r="A8" s="13" t="s">
        <v>5294</v>
      </c>
      <c r="B8" s="14" t="s">
        <v>5290</v>
      </c>
      <c r="C8" s="14" t="s">
        <v>5295</v>
      </c>
      <c r="D8" s="15" t="s">
        <v>32</v>
      </c>
      <c r="E8" s="13" t="s">
        <v>46</v>
      </c>
      <c r="F8" s="14" t="s">
        <v>5296</v>
      </c>
      <c r="G8" s="14" t="s">
        <v>109</v>
      </c>
      <c r="H8" s="14" t="s">
        <v>5297</v>
      </c>
      <c r="I8" s="14"/>
      <c r="J8" s="16" t="s">
        <v>51</v>
      </c>
      <c r="K8" s="14"/>
    </row>
    <row r="9" spans="1:11" ht="69.75" customHeight="1">
      <c r="A9" s="13" t="s">
        <v>5298</v>
      </c>
      <c r="B9" s="14" t="s">
        <v>5299</v>
      </c>
      <c r="C9" s="14" t="s">
        <v>5300</v>
      </c>
      <c r="D9" s="15" t="s">
        <v>32</v>
      </c>
      <c r="E9" s="13" t="s">
        <v>45</v>
      </c>
      <c r="F9" s="14" t="s">
        <v>5301</v>
      </c>
      <c r="G9" s="14" t="s">
        <v>109</v>
      </c>
      <c r="H9" s="14" t="s">
        <v>5302</v>
      </c>
      <c r="I9" s="14"/>
      <c r="J9" s="16" t="s">
        <v>51</v>
      </c>
      <c r="K9" s="14"/>
    </row>
    <row r="10" spans="1:11" ht="69.75" customHeight="1">
      <c r="A10" s="13" t="s">
        <v>5303</v>
      </c>
      <c r="B10" s="14" t="s">
        <v>5299</v>
      </c>
      <c r="C10" s="14" t="s">
        <v>5304</v>
      </c>
      <c r="D10" s="15" t="s">
        <v>32</v>
      </c>
      <c r="E10" s="13" t="s">
        <v>47</v>
      </c>
      <c r="F10" s="14" t="s">
        <v>5305</v>
      </c>
      <c r="G10" s="14" t="s">
        <v>109</v>
      </c>
      <c r="H10" s="14" t="s">
        <v>5306</v>
      </c>
      <c r="I10" s="14"/>
      <c r="J10" s="16" t="s">
        <v>51</v>
      </c>
      <c r="K10" s="14"/>
    </row>
    <row r="11" spans="1:11" ht="84" customHeight="1">
      <c r="A11" s="13" t="s">
        <v>5307</v>
      </c>
      <c r="B11" s="14" t="s">
        <v>5308</v>
      </c>
      <c r="C11" s="14" t="s">
        <v>5309</v>
      </c>
      <c r="D11" s="15" t="s">
        <v>32</v>
      </c>
      <c r="E11" s="13" t="s">
        <v>46</v>
      </c>
      <c r="F11" s="14" t="s">
        <v>5310</v>
      </c>
      <c r="G11" s="14" t="s">
        <v>5311</v>
      </c>
      <c r="H11" s="14" t="s">
        <v>5312</v>
      </c>
      <c r="I11" s="14"/>
      <c r="J11" s="16" t="s">
        <v>51</v>
      </c>
      <c r="K11" s="14"/>
    </row>
    <row r="12" spans="1:11" ht="69.75" customHeight="1">
      <c r="A12" s="13" t="s">
        <v>5313</v>
      </c>
      <c r="B12" s="14" t="s">
        <v>5314</v>
      </c>
      <c r="C12" s="14" t="s">
        <v>5315</v>
      </c>
      <c r="D12" s="15" t="s">
        <v>32</v>
      </c>
      <c r="E12" s="13" t="s">
        <v>45</v>
      </c>
      <c r="F12" s="14" t="s">
        <v>5316</v>
      </c>
      <c r="G12" s="14" t="s">
        <v>4955</v>
      </c>
      <c r="H12" s="14" t="s">
        <v>5317</v>
      </c>
      <c r="I12" s="14"/>
      <c r="J12" s="16" t="s">
        <v>51</v>
      </c>
      <c r="K12" s="14"/>
    </row>
    <row r="13" spans="1:11" ht="55.5" customHeight="1">
      <c r="A13" s="13" t="s">
        <v>5318</v>
      </c>
      <c r="B13" s="14" t="s">
        <v>5314</v>
      </c>
      <c r="C13" s="14" t="s">
        <v>5319</v>
      </c>
      <c r="D13" s="15" t="s">
        <v>32</v>
      </c>
      <c r="E13" s="13" t="s">
        <v>45</v>
      </c>
      <c r="F13" s="14" t="s">
        <v>5320</v>
      </c>
      <c r="G13" s="14" t="s">
        <v>109</v>
      </c>
      <c r="H13" s="14" t="s">
        <v>5321</v>
      </c>
      <c r="I13" s="14"/>
      <c r="J13" s="16" t="s">
        <v>51</v>
      </c>
      <c r="K13" s="14"/>
    </row>
    <row r="14" spans="1:11" ht="84" customHeight="1">
      <c r="A14" s="13" t="s">
        <v>5322</v>
      </c>
      <c r="B14" s="14" t="s">
        <v>5314</v>
      </c>
      <c r="C14" s="14" t="s">
        <v>5323</v>
      </c>
      <c r="D14" s="15" t="s">
        <v>32</v>
      </c>
      <c r="E14" s="13" t="s">
        <v>46</v>
      </c>
      <c r="F14" s="14" t="s">
        <v>5324</v>
      </c>
      <c r="G14" s="14" t="s">
        <v>5325</v>
      </c>
      <c r="H14" s="14" t="s">
        <v>5326</v>
      </c>
      <c r="I14" s="14"/>
      <c r="J14" s="16" t="s">
        <v>51</v>
      </c>
      <c r="K14" s="14"/>
    </row>
    <row r="15" spans="1:11" ht="69.75" customHeight="1">
      <c r="A15" s="13" t="s">
        <v>5327</v>
      </c>
      <c r="B15" s="14" t="s">
        <v>5314</v>
      </c>
      <c r="C15" s="14" t="s">
        <v>5328</v>
      </c>
      <c r="D15" s="15" t="s">
        <v>32</v>
      </c>
      <c r="E15" s="13" t="s">
        <v>46</v>
      </c>
      <c r="F15" s="14" t="s">
        <v>5329</v>
      </c>
      <c r="G15" s="14" t="s">
        <v>109</v>
      </c>
      <c r="H15" s="14" t="s">
        <v>5330</v>
      </c>
      <c r="I15" s="14"/>
      <c r="J15" s="16" t="s">
        <v>51</v>
      </c>
      <c r="K15" s="14"/>
    </row>
    <row r="16" spans="1:11" ht="69.75" customHeight="1">
      <c r="A16" s="13" t="s">
        <v>5331</v>
      </c>
      <c r="B16" s="14" t="s">
        <v>5332</v>
      </c>
      <c r="C16" s="14" t="s">
        <v>5333</v>
      </c>
      <c r="D16" s="15" t="s">
        <v>32</v>
      </c>
      <c r="E16" s="13" t="s">
        <v>45</v>
      </c>
      <c r="F16" s="14" t="s">
        <v>5334</v>
      </c>
      <c r="G16" s="14" t="s">
        <v>109</v>
      </c>
      <c r="H16" s="14" t="s">
        <v>5335</v>
      </c>
      <c r="I16" s="14"/>
      <c r="J16" s="16" t="s">
        <v>51</v>
      </c>
      <c r="K16" s="14"/>
    </row>
    <row r="17" spans="1:11" ht="69.75" customHeight="1">
      <c r="A17" s="13" t="s">
        <v>5336</v>
      </c>
      <c r="B17" s="14" t="s">
        <v>5332</v>
      </c>
      <c r="C17" s="14" t="s">
        <v>5337</v>
      </c>
      <c r="D17" s="15" t="s">
        <v>32</v>
      </c>
      <c r="E17" s="13" t="s">
        <v>45</v>
      </c>
      <c r="F17" s="14" t="s">
        <v>5338</v>
      </c>
      <c r="G17" s="14" t="s">
        <v>109</v>
      </c>
      <c r="H17" s="14" t="s">
        <v>5339</v>
      </c>
      <c r="I17" s="14"/>
      <c r="J17" s="16" t="s">
        <v>51</v>
      </c>
      <c r="K17" s="14"/>
    </row>
    <row r="18" spans="1:11" ht="69.75" customHeight="1">
      <c r="A18" s="13" t="s">
        <v>5340</v>
      </c>
      <c r="B18" s="14" t="s">
        <v>5332</v>
      </c>
      <c r="C18" s="14" t="s">
        <v>5341</v>
      </c>
      <c r="D18" s="15" t="s">
        <v>32</v>
      </c>
      <c r="E18" s="13" t="s">
        <v>45</v>
      </c>
      <c r="F18" s="14" t="s">
        <v>5342</v>
      </c>
      <c r="G18" s="14" t="s">
        <v>5343</v>
      </c>
      <c r="H18" s="14" t="s">
        <v>5344</v>
      </c>
      <c r="I18" s="14"/>
      <c r="J18" s="16" t="s">
        <v>51</v>
      </c>
      <c r="K18" s="14"/>
    </row>
    <row r="19" spans="1:11" ht="55.5" customHeight="1">
      <c r="A19" s="13" t="s">
        <v>5345</v>
      </c>
      <c r="B19" s="14" t="s">
        <v>5346</v>
      </c>
      <c r="C19" s="14" t="s">
        <v>5347</v>
      </c>
      <c r="D19" s="15" t="s">
        <v>32</v>
      </c>
      <c r="E19" s="13" t="s">
        <v>45</v>
      </c>
      <c r="F19" s="14" t="s">
        <v>5348</v>
      </c>
      <c r="G19" s="14" t="s">
        <v>109</v>
      </c>
      <c r="H19" s="14" t="s">
        <v>5349</v>
      </c>
      <c r="I19" s="14"/>
      <c r="J19" s="16" t="s">
        <v>51</v>
      </c>
      <c r="K19" s="14"/>
    </row>
    <row r="20" spans="1:11" ht="69.75" customHeight="1">
      <c r="A20" s="13" t="s">
        <v>5350</v>
      </c>
      <c r="B20" s="14" t="s">
        <v>5346</v>
      </c>
      <c r="C20" s="14" t="s">
        <v>5351</v>
      </c>
      <c r="D20" s="15" t="s">
        <v>32</v>
      </c>
      <c r="E20" s="13" t="s">
        <v>45</v>
      </c>
      <c r="F20" s="14" t="s">
        <v>5352</v>
      </c>
      <c r="G20" s="14" t="s">
        <v>5353</v>
      </c>
      <c r="H20" s="14" t="s">
        <v>5354</v>
      </c>
      <c r="I20" s="14"/>
      <c r="J20" s="16" t="s">
        <v>51</v>
      </c>
      <c r="K20" s="14"/>
    </row>
    <row r="21" spans="1:11" ht="69.75" customHeight="1">
      <c r="A21" s="17" t="s">
        <v>5355</v>
      </c>
      <c r="B21" s="18" t="s">
        <v>5346</v>
      </c>
      <c r="C21" s="18" t="s">
        <v>5356</v>
      </c>
      <c r="D21" s="19" t="s">
        <v>33</v>
      </c>
      <c r="E21" s="17" t="s">
        <v>47</v>
      </c>
      <c r="F21" s="18" t="s">
        <v>5357</v>
      </c>
      <c r="G21" s="18" t="s">
        <v>5358</v>
      </c>
      <c r="H21" s="18" t="s">
        <v>5359</v>
      </c>
      <c r="I21" s="18"/>
      <c r="J21" s="16" t="s">
        <v>51</v>
      </c>
      <c r="K21" s="18"/>
    </row>
    <row r="22" spans="1:11" ht="97.5" customHeight="1">
      <c r="A22" s="17" t="s">
        <v>5360</v>
      </c>
      <c r="B22" s="18" t="s">
        <v>5361</v>
      </c>
      <c r="C22" s="18" t="s">
        <v>5362</v>
      </c>
      <c r="D22" s="19" t="s">
        <v>33</v>
      </c>
      <c r="E22" s="17" t="s">
        <v>46</v>
      </c>
      <c r="F22" s="18" t="s">
        <v>5363</v>
      </c>
      <c r="G22" s="18" t="s">
        <v>109</v>
      </c>
      <c r="H22" s="18" t="s">
        <v>5364</v>
      </c>
      <c r="I22" s="18"/>
      <c r="J22" s="16" t="s">
        <v>51</v>
      </c>
      <c r="K22" s="18"/>
    </row>
    <row r="23" spans="1:11" ht="84" customHeight="1">
      <c r="A23" s="13" t="s">
        <v>5365</v>
      </c>
      <c r="B23" s="14" t="s">
        <v>5308</v>
      </c>
      <c r="C23" s="14" t="s">
        <v>5366</v>
      </c>
      <c r="D23" s="15" t="s">
        <v>32</v>
      </c>
      <c r="E23" s="13" t="s">
        <v>46</v>
      </c>
      <c r="F23" s="14" t="s">
        <v>5367</v>
      </c>
      <c r="G23" s="14" t="s">
        <v>109</v>
      </c>
      <c r="H23" s="14" t="s">
        <v>5368</v>
      </c>
      <c r="I23" s="14"/>
      <c r="J23" s="16" t="s">
        <v>51</v>
      </c>
      <c r="K23" s="14"/>
    </row>
    <row r="24" spans="1:11" ht="69.75" customHeight="1">
      <c r="A24" s="17" t="s">
        <v>5369</v>
      </c>
      <c r="B24" s="18" t="s">
        <v>5346</v>
      </c>
      <c r="C24" s="18" t="s">
        <v>5370</v>
      </c>
      <c r="D24" s="19" t="s">
        <v>31</v>
      </c>
      <c r="E24" s="17" t="s">
        <v>45</v>
      </c>
      <c r="F24" s="18" t="s">
        <v>5371</v>
      </c>
      <c r="G24" s="18" t="s">
        <v>5372</v>
      </c>
      <c r="H24" s="18" t="s">
        <v>5373</v>
      </c>
      <c r="I24" s="18"/>
      <c r="J24" s="16" t="s">
        <v>51</v>
      </c>
      <c r="K24" s="18"/>
    </row>
    <row r="25" spans="1:11" ht="84" customHeight="1">
      <c r="A25" s="13" t="s">
        <v>5374</v>
      </c>
      <c r="B25" s="14" t="s">
        <v>5346</v>
      </c>
      <c r="C25" s="14" t="s">
        <v>5375</v>
      </c>
      <c r="D25" s="15" t="s">
        <v>30</v>
      </c>
      <c r="E25" s="13" t="s">
        <v>45</v>
      </c>
      <c r="F25" s="14" t="s">
        <v>5376</v>
      </c>
      <c r="G25" s="14" t="s">
        <v>4778</v>
      </c>
      <c r="H25" s="14" t="s">
        <v>5377</v>
      </c>
      <c r="I25" s="14"/>
      <c r="J25" s="16" t="s">
        <v>51</v>
      </c>
      <c r="K25" s="14"/>
    </row>
    <row r="26" spans="1:11" ht="69.75" customHeight="1">
      <c r="A26" s="17" t="s">
        <v>5378</v>
      </c>
      <c r="B26" s="18" t="s">
        <v>5346</v>
      </c>
      <c r="C26" s="18" t="s">
        <v>5379</v>
      </c>
      <c r="D26" s="19" t="s">
        <v>31</v>
      </c>
      <c r="E26" s="17" t="s">
        <v>45</v>
      </c>
      <c r="F26" s="18" t="s">
        <v>5380</v>
      </c>
      <c r="G26" s="18" t="s">
        <v>5381</v>
      </c>
      <c r="H26" s="18" t="s">
        <v>5382</v>
      </c>
      <c r="I26" s="18"/>
      <c r="J26" s="16" t="s">
        <v>51</v>
      </c>
      <c r="K26" s="18"/>
    </row>
    <row r="27" spans="1:11" ht="69.75" customHeight="1">
      <c r="A27" s="17" t="s">
        <v>5383</v>
      </c>
      <c r="B27" s="18" t="s">
        <v>5346</v>
      </c>
      <c r="C27" s="18" t="s">
        <v>5384</v>
      </c>
      <c r="D27" s="19" t="s">
        <v>31</v>
      </c>
      <c r="E27" s="17" t="s">
        <v>45</v>
      </c>
      <c r="F27" s="18" t="s">
        <v>5385</v>
      </c>
      <c r="G27" s="18" t="s">
        <v>5386</v>
      </c>
      <c r="H27" s="18" t="s">
        <v>5382</v>
      </c>
      <c r="I27" s="18"/>
      <c r="J27" s="16" t="s">
        <v>51</v>
      </c>
      <c r="K27" s="18"/>
    </row>
    <row r="28" spans="1:11" ht="69.75" customHeight="1">
      <c r="A28" s="17" t="s">
        <v>5387</v>
      </c>
      <c r="B28" s="18" t="s">
        <v>5346</v>
      </c>
      <c r="C28" s="18" t="s">
        <v>5388</v>
      </c>
      <c r="D28" s="19" t="s">
        <v>31</v>
      </c>
      <c r="E28" s="17" t="s">
        <v>45</v>
      </c>
      <c r="F28" s="18" t="s">
        <v>5389</v>
      </c>
      <c r="G28" s="18" t="s">
        <v>5390</v>
      </c>
      <c r="H28" s="18" t="s">
        <v>5382</v>
      </c>
      <c r="I28" s="18"/>
      <c r="J28" s="16" t="s">
        <v>51</v>
      </c>
      <c r="K28" s="18"/>
    </row>
    <row r="29" spans="1:11" ht="69.75" customHeight="1">
      <c r="A29" s="17" t="s">
        <v>5391</v>
      </c>
      <c r="B29" s="18" t="s">
        <v>5346</v>
      </c>
      <c r="C29" s="18" t="s">
        <v>5392</v>
      </c>
      <c r="D29" s="19" t="s">
        <v>31</v>
      </c>
      <c r="E29" s="17" t="s">
        <v>45</v>
      </c>
      <c r="F29" s="18" t="s">
        <v>5393</v>
      </c>
      <c r="G29" s="18" t="s">
        <v>5394</v>
      </c>
      <c r="H29" s="18" t="s">
        <v>5382</v>
      </c>
      <c r="I29" s="18"/>
      <c r="J29" s="16" t="s">
        <v>51</v>
      </c>
      <c r="K29" s="18"/>
    </row>
    <row r="30" spans="1:11" ht="84" customHeight="1">
      <c r="A30" s="17" t="s">
        <v>5395</v>
      </c>
      <c r="B30" s="18" t="s">
        <v>5346</v>
      </c>
      <c r="C30" s="18" t="s">
        <v>5396</v>
      </c>
      <c r="D30" s="19" t="s">
        <v>31</v>
      </c>
      <c r="E30" s="17" t="s">
        <v>45</v>
      </c>
      <c r="F30" s="18" t="s">
        <v>5397</v>
      </c>
      <c r="G30" s="18" t="s">
        <v>5398</v>
      </c>
      <c r="H30" s="18" t="s">
        <v>5399</v>
      </c>
      <c r="I30" s="18"/>
      <c r="J30" s="16" t="s">
        <v>51</v>
      </c>
      <c r="K30" s="18"/>
    </row>
    <row r="31" spans="1:11" ht="97.5" customHeight="1">
      <c r="A31" s="13" t="s">
        <v>5400</v>
      </c>
      <c r="B31" s="14" t="s">
        <v>5346</v>
      </c>
      <c r="C31" s="14" t="s">
        <v>5401</v>
      </c>
      <c r="D31" s="15" t="s">
        <v>30</v>
      </c>
      <c r="E31" s="13" t="s">
        <v>46</v>
      </c>
      <c r="F31" s="14" t="s">
        <v>5402</v>
      </c>
      <c r="G31" s="14" t="s">
        <v>5403</v>
      </c>
      <c r="H31" s="14" t="s">
        <v>5404</v>
      </c>
      <c r="I31" s="14"/>
      <c r="J31" s="16" t="s">
        <v>51</v>
      </c>
      <c r="K31" s="14"/>
    </row>
    <row r="32" spans="1:11" ht="84" customHeight="1">
      <c r="A32" s="17" t="s">
        <v>5405</v>
      </c>
      <c r="B32" s="18" t="s">
        <v>5346</v>
      </c>
      <c r="C32" s="18" t="s">
        <v>5406</v>
      </c>
      <c r="D32" s="19" t="s">
        <v>31</v>
      </c>
      <c r="E32" s="17" t="s">
        <v>45</v>
      </c>
      <c r="F32" s="18" t="s">
        <v>5407</v>
      </c>
      <c r="G32" s="18" t="s">
        <v>5408</v>
      </c>
      <c r="H32" s="18" t="s">
        <v>5409</v>
      </c>
      <c r="I32" s="18"/>
      <c r="J32" s="16" t="s">
        <v>51</v>
      </c>
      <c r="K32" s="18"/>
    </row>
    <row r="33" spans="1:11" ht="97.5" customHeight="1">
      <c r="A33" s="13" t="s">
        <v>5410</v>
      </c>
      <c r="B33" s="14" t="s">
        <v>5346</v>
      </c>
      <c r="C33" s="14" t="s">
        <v>5411</v>
      </c>
      <c r="D33" s="15" t="s">
        <v>30</v>
      </c>
      <c r="E33" s="13" t="s">
        <v>46</v>
      </c>
      <c r="F33" s="14" t="s">
        <v>5412</v>
      </c>
      <c r="G33" s="14" t="s">
        <v>742</v>
      </c>
      <c r="H33" s="14" t="s">
        <v>5413</v>
      </c>
      <c r="I33" s="14"/>
      <c r="J33" s="16" t="s">
        <v>51</v>
      </c>
      <c r="K33" s="14"/>
    </row>
    <row r="34" spans="1:11" ht="84" customHeight="1">
      <c r="A34" s="17" t="s">
        <v>5414</v>
      </c>
      <c r="B34" s="18" t="s">
        <v>5332</v>
      </c>
      <c r="C34" s="18" t="s">
        <v>5415</v>
      </c>
      <c r="D34" s="19" t="s">
        <v>31</v>
      </c>
      <c r="E34" s="17" t="s">
        <v>45</v>
      </c>
      <c r="F34" s="18" t="s">
        <v>5416</v>
      </c>
      <c r="G34" s="18" t="s">
        <v>5417</v>
      </c>
      <c r="H34" s="18" t="s">
        <v>5418</v>
      </c>
      <c r="I34" s="18"/>
      <c r="J34" s="16" t="s">
        <v>51</v>
      </c>
      <c r="K34" s="18"/>
    </row>
    <row r="35" spans="1:11" ht="69.75" customHeight="1">
      <c r="A35" s="17" t="s">
        <v>5419</v>
      </c>
      <c r="B35" s="18" t="s">
        <v>5332</v>
      </c>
      <c r="C35" s="18" t="s">
        <v>5420</v>
      </c>
      <c r="D35" s="19" t="s">
        <v>31</v>
      </c>
      <c r="E35" s="17" t="s">
        <v>45</v>
      </c>
      <c r="F35" s="18" t="s">
        <v>5421</v>
      </c>
      <c r="G35" s="18" t="s">
        <v>5422</v>
      </c>
      <c r="H35" s="18" t="s">
        <v>5418</v>
      </c>
      <c r="I35" s="18"/>
      <c r="J35" s="16" t="s">
        <v>51</v>
      </c>
      <c r="K35" s="18"/>
    </row>
    <row r="36" spans="1:11" ht="84" customHeight="1">
      <c r="A36" s="13" t="s">
        <v>5423</v>
      </c>
      <c r="B36" s="14" t="s">
        <v>5332</v>
      </c>
      <c r="C36" s="14" t="s">
        <v>5424</v>
      </c>
      <c r="D36" s="15" t="s">
        <v>30</v>
      </c>
      <c r="E36" s="13" t="s">
        <v>46</v>
      </c>
      <c r="F36" s="14" t="s">
        <v>5425</v>
      </c>
      <c r="G36" s="14" t="s">
        <v>5426</v>
      </c>
      <c r="H36" s="14" t="s">
        <v>5427</v>
      </c>
      <c r="I36" s="14"/>
      <c r="J36" s="16" t="s">
        <v>51</v>
      </c>
      <c r="K36" s="14"/>
    </row>
    <row r="37" spans="1:11" ht="84" customHeight="1">
      <c r="A37" s="17" t="s">
        <v>5428</v>
      </c>
      <c r="B37" s="18" t="s">
        <v>5332</v>
      </c>
      <c r="C37" s="18" t="s">
        <v>5429</v>
      </c>
      <c r="D37" s="19" t="s">
        <v>31</v>
      </c>
      <c r="E37" s="17" t="s">
        <v>46</v>
      </c>
      <c r="F37" s="18" t="s">
        <v>5430</v>
      </c>
      <c r="G37" s="18" t="s">
        <v>5431</v>
      </c>
      <c r="H37" s="18" t="s">
        <v>5432</v>
      </c>
      <c r="I37" s="18"/>
      <c r="J37" s="16" t="s">
        <v>51</v>
      </c>
      <c r="K37" s="18"/>
    </row>
    <row r="38" spans="1:11" ht="84" customHeight="1">
      <c r="A38" s="13" t="s">
        <v>5433</v>
      </c>
      <c r="B38" s="14" t="s">
        <v>5332</v>
      </c>
      <c r="C38" s="14" t="s">
        <v>5434</v>
      </c>
      <c r="D38" s="15" t="s">
        <v>30</v>
      </c>
      <c r="E38" s="13" t="s">
        <v>47</v>
      </c>
      <c r="F38" s="14" t="s">
        <v>5435</v>
      </c>
      <c r="G38" s="14" t="s">
        <v>5436</v>
      </c>
      <c r="H38" s="14" t="s">
        <v>5437</v>
      </c>
      <c r="I38" s="14"/>
      <c r="J38" s="16" t="s">
        <v>51</v>
      </c>
      <c r="K38" s="14"/>
    </row>
    <row r="39" spans="1:11" ht="69.75" customHeight="1">
      <c r="A39" s="17" t="s">
        <v>5438</v>
      </c>
      <c r="B39" s="18" t="s">
        <v>5332</v>
      </c>
      <c r="C39" s="18" t="s">
        <v>5439</v>
      </c>
      <c r="D39" s="19" t="s">
        <v>31</v>
      </c>
      <c r="E39" s="17" t="s">
        <v>46</v>
      </c>
      <c r="F39" s="18" t="s">
        <v>5440</v>
      </c>
      <c r="G39" s="18" t="s">
        <v>5441</v>
      </c>
      <c r="H39" s="18" t="s">
        <v>5418</v>
      </c>
      <c r="I39" s="18"/>
      <c r="J39" s="16" t="s">
        <v>51</v>
      </c>
      <c r="K39" s="18"/>
    </row>
    <row r="40" spans="1:11" ht="69.75" customHeight="1">
      <c r="A40" s="17" t="s">
        <v>5442</v>
      </c>
      <c r="B40" s="18" t="s">
        <v>5332</v>
      </c>
      <c r="C40" s="18" t="s">
        <v>5443</v>
      </c>
      <c r="D40" s="19" t="s">
        <v>31</v>
      </c>
      <c r="E40" s="17" t="s">
        <v>46</v>
      </c>
      <c r="F40" s="18" t="s">
        <v>5444</v>
      </c>
      <c r="G40" s="18" t="s">
        <v>5445</v>
      </c>
      <c r="H40" s="18" t="s">
        <v>5418</v>
      </c>
      <c r="I40" s="18"/>
      <c r="J40" s="16" t="s">
        <v>51</v>
      </c>
      <c r="K40" s="18"/>
    </row>
    <row r="41" spans="1:11" ht="97.5" customHeight="1">
      <c r="A41" s="17" t="s">
        <v>5446</v>
      </c>
      <c r="B41" s="18" t="s">
        <v>5346</v>
      </c>
      <c r="C41" s="18" t="s">
        <v>5447</v>
      </c>
      <c r="D41" s="19" t="s">
        <v>31</v>
      </c>
      <c r="E41" s="17" t="s">
        <v>45</v>
      </c>
      <c r="F41" s="18" t="s">
        <v>5448</v>
      </c>
      <c r="G41" s="18" t="s">
        <v>5449</v>
      </c>
      <c r="H41" s="18" t="s">
        <v>5450</v>
      </c>
      <c r="I41" s="18"/>
      <c r="J41" s="16" t="s">
        <v>51</v>
      </c>
      <c r="K41" s="18"/>
    </row>
    <row r="42" spans="1:11" ht="84" customHeight="1">
      <c r="A42" s="17" t="s">
        <v>5451</v>
      </c>
      <c r="B42" s="18" t="s">
        <v>5346</v>
      </c>
      <c r="C42" s="18" t="s">
        <v>5452</v>
      </c>
      <c r="D42" s="19" t="s">
        <v>31</v>
      </c>
      <c r="E42" s="17" t="s">
        <v>47</v>
      </c>
      <c r="F42" s="18" t="s">
        <v>5453</v>
      </c>
      <c r="G42" s="18" t="s">
        <v>5454</v>
      </c>
      <c r="H42" s="18" t="s">
        <v>5455</v>
      </c>
      <c r="I42" s="18"/>
      <c r="J42" s="16" t="s">
        <v>51</v>
      </c>
      <c r="K42" s="18"/>
    </row>
    <row r="43" spans="1:11" ht="84" customHeight="1">
      <c r="A43" s="17" t="s">
        <v>5456</v>
      </c>
      <c r="B43" s="18" t="s">
        <v>5346</v>
      </c>
      <c r="C43" s="18" t="s">
        <v>5457</v>
      </c>
      <c r="D43" s="19" t="s">
        <v>31</v>
      </c>
      <c r="E43" s="17" t="s">
        <v>47</v>
      </c>
      <c r="F43" s="18" t="s">
        <v>5458</v>
      </c>
      <c r="G43" s="18" t="s">
        <v>5459</v>
      </c>
      <c r="H43" s="18" t="s">
        <v>5460</v>
      </c>
      <c r="I43" s="18"/>
      <c r="J43" s="16" t="s">
        <v>51</v>
      </c>
      <c r="K43" s="18"/>
    </row>
  </sheetData>
  <autoFilter ref="A1:K43" xr:uid="{00000000-0009-0000-0000-00000E000000}"/>
  <dataValidations count="3">
    <dataValidation type="list" allowBlank="1" sqref="D2:D43" xr:uid="{00000000-0002-0000-0E00-000000000000}">
      <formula1>"Positive,Negative,Functional - Positive,Functional - Negative,Validation - Positive,Validation - Negative,Defect - Functional,Defect - Validation"</formula1>
      <formula2>0</formula2>
    </dataValidation>
    <dataValidation type="list" allowBlank="1" sqref="E2:E43" xr:uid="{00000000-0002-0000-0E00-000001000000}">
      <formula1>"High,Medium,Low"</formula1>
      <formula2>0</formula2>
    </dataValidation>
    <dataValidation type="list" allowBlank="1" sqref="J2:J43" xr:uid="{00000000-0002-0000-0E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5"/>
  <sheetViews>
    <sheetView zoomScaleNormal="100" workbookViewId="0">
      <selection activeCell="C2" sqref="C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84" customHeight="1">
      <c r="A2" s="13" t="s">
        <v>3088</v>
      </c>
      <c r="B2" s="14" t="s">
        <v>3089</v>
      </c>
      <c r="C2" s="14" t="s">
        <v>3090</v>
      </c>
      <c r="D2" s="15" t="s">
        <v>43</v>
      </c>
      <c r="E2" s="13" t="s">
        <v>45</v>
      </c>
      <c r="F2" s="14" t="s">
        <v>3091</v>
      </c>
      <c r="G2" s="14" t="s">
        <v>109</v>
      </c>
      <c r="H2" s="14" t="s">
        <v>3092</v>
      </c>
      <c r="I2" s="14"/>
      <c r="J2" s="16" t="s">
        <v>51</v>
      </c>
      <c r="K2" s="14" t="s">
        <v>3093</v>
      </c>
    </row>
    <row r="3" spans="1:11" ht="84" customHeight="1">
      <c r="A3" s="13" t="s">
        <v>3094</v>
      </c>
      <c r="B3" s="14" t="s">
        <v>3089</v>
      </c>
      <c r="C3" s="14" t="s">
        <v>3095</v>
      </c>
      <c r="D3" s="15" t="s">
        <v>43</v>
      </c>
      <c r="E3" s="13" t="s">
        <v>45</v>
      </c>
      <c r="F3" s="14" t="s">
        <v>3096</v>
      </c>
      <c r="G3" s="14" t="s">
        <v>109</v>
      </c>
      <c r="H3" s="14" t="s">
        <v>3097</v>
      </c>
      <c r="I3" s="14"/>
      <c r="J3" s="16" t="s">
        <v>51</v>
      </c>
      <c r="K3" s="14" t="s">
        <v>3093</v>
      </c>
    </row>
    <row r="4" spans="1:11" ht="84" customHeight="1">
      <c r="A4" s="13" t="s">
        <v>3098</v>
      </c>
      <c r="B4" s="14" t="s">
        <v>3089</v>
      </c>
      <c r="C4" s="14" t="s">
        <v>3099</v>
      </c>
      <c r="D4" s="15" t="s">
        <v>43</v>
      </c>
      <c r="E4" s="13" t="s">
        <v>45</v>
      </c>
      <c r="F4" s="14" t="s">
        <v>3100</v>
      </c>
      <c r="G4" s="14" t="s">
        <v>3101</v>
      </c>
      <c r="H4" s="14" t="s">
        <v>3102</v>
      </c>
      <c r="I4" s="14"/>
      <c r="J4" s="16" t="s">
        <v>51</v>
      </c>
      <c r="K4" s="14" t="s">
        <v>3093</v>
      </c>
    </row>
    <row r="5" spans="1:11" ht="84" customHeight="1">
      <c r="A5" s="17" t="s">
        <v>3103</v>
      </c>
      <c r="B5" s="18" t="s">
        <v>3089</v>
      </c>
      <c r="C5" s="18" t="s">
        <v>3104</v>
      </c>
      <c r="D5" s="19" t="s">
        <v>44</v>
      </c>
      <c r="E5" s="17" t="s">
        <v>46</v>
      </c>
      <c r="F5" s="18" t="s">
        <v>3105</v>
      </c>
      <c r="G5" s="18" t="s">
        <v>3106</v>
      </c>
      <c r="H5" s="18" t="s">
        <v>3107</v>
      </c>
      <c r="I5" s="18"/>
      <c r="J5" s="16" t="s">
        <v>51</v>
      </c>
      <c r="K5" s="18" t="s">
        <v>3093</v>
      </c>
    </row>
    <row r="6" spans="1:11" ht="84" customHeight="1">
      <c r="A6" s="13" t="s">
        <v>3108</v>
      </c>
      <c r="B6" s="14" t="s">
        <v>3089</v>
      </c>
      <c r="C6" s="14" t="s">
        <v>3109</v>
      </c>
      <c r="D6" s="15" t="s">
        <v>43</v>
      </c>
      <c r="E6" s="13" t="s">
        <v>46</v>
      </c>
      <c r="F6" s="14" t="s">
        <v>3110</v>
      </c>
      <c r="G6" s="14" t="s">
        <v>3111</v>
      </c>
      <c r="H6" s="14" t="s">
        <v>3112</v>
      </c>
      <c r="I6" s="14"/>
      <c r="J6" s="16" t="s">
        <v>51</v>
      </c>
      <c r="K6" s="14" t="s">
        <v>3093</v>
      </c>
    </row>
    <row r="7" spans="1:11" ht="84" customHeight="1">
      <c r="A7" s="13" t="s">
        <v>3113</v>
      </c>
      <c r="B7" s="14" t="s">
        <v>3089</v>
      </c>
      <c r="C7" s="14" t="s">
        <v>3114</v>
      </c>
      <c r="D7" s="15" t="s">
        <v>43</v>
      </c>
      <c r="E7" s="13" t="s">
        <v>46</v>
      </c>
      <c r="F7" s="14" t="s">
        <v>3115</v>
      </c>
      <c r="G7" s="14" t="s">
        <v>109</v>
      </c>
      <c r="H7" s="14" t="s">
        <v>3116</v>
      </c>
      <c r="I7" s="14"/>
      <c r="J7" s="16" t="s">
        <v>51</v>
      </c>
      <c r="K7" s="14" t="s">
        <v>3093</v>
      </c>
    </row>
    <row r="8" spans="1:11" ht="84" customHeight="1">
      <c r="A8" s="13" t="s">
        <v>3117</v>
      </c>
      <c r="B8" s="14" t="s">
        <v>3118</v>
      </c>
      <c r="C8" s="14" t="s">
        <v>3119</v>
      </c>
      <c r="D8" s="15" t="s">
        <v>43</v>
      </c>
      <c r="E8" s="13" t="s">
        <v>45</v>
      </c>
      <c r="F8" s="14" t="s">
        <v>3120</v>
      </c>
      <c r="G8" s="14" t="s">
        <v>109</v>
      </c>
      <c r="H8" s="14" t="s">
        <v>3121</v>
      </c>
      <c r="I8" s="14"/>
      <c r="J8" s="16" t="s">
        <v>51</v>
      </c>
      <c r="K8" s="14" t="s">
        <v>3093</v>
      </c>
    </row>
    <row r="9" spans="1:11" ht="84" customHeight="1">
      <c r="A9" s="17" t="s">
        <v>3122</v>
      </c>
      <c r="B9" s="18" t="s">
        <v>3118</v>
      </c>
      <c r="C9" s="18" t="s">
        <v>3123</v>
      </c>
      <c r="D9" s="19" t="s">
        <v>44</v>
      </c>
      <c r="E9" s="17" t="s">
        <v>46</v>
      </c>
      <c r="F9" s="18" t="s">
        <v>3124</v>
      </c>
      <c r="G9" s="18" t="s">
        <v>109</v>
      </c>
      <c r="H9" s="18" t="s">
        <v>3125</v>
      </c>
      <c r="I9" s="18"/>
      <c r="J9" s="16" t="s">
        <v>51</v>
      </c>
      <c r="K9" s="18" t="s">
        <v>3093</v>
      </c>
    </row>
    <row r="10" spans="1:11" ht="84" customHeight="1">
      <c r="A10" s="17" t="s">
        <v>3126</v>
      </c>
      <c r="B10" s="18" t="s">
        <v>3118</v>
      </c>
      <c r="C10" s="18" t="s">
        <v>3127</v>
      </c>
      <c r="D10" s="19" t="s">
        <v>44</v>
      </c>
      <c r="E10" s="17" t="s">
        <v>45</v>
      </c>
      <c r="F10" s="18" t="s">
        <v>3128</v>
      </c>
      <c r="G10" s="18" t="s">
        <v>3129</v>
      </c>
      <c r="H10" s="18" t="s">
        <v>3130</v>
      </c>
      <c r="I10" s="18"/>
      <c r="J10" s="16" t="s">
        <v>51</v>
      </c>
      <c r="K10" s="18" t="s">
        <v>3093</v>
      </c>
    </row>
    <row r="11" spans="1:11" ht="84" customHeight="1">
      <c r="A11" s="13" t="s">
        <v>3131</v>
      </c>
      <c r="B11" s="14" t="s">
        <v>3118</v>
      </c>
      <c r="C11" s="14" t="s">
        <v>3132</v>
      </c>
      <c r="D11" s="15" t="s">
        <v>43</v>
      </c>
      <c r="E11" s="13" t="s">
        <v>46</v>
      </c>
      <c r="F11" s="14" t="s">
        <v>3133</v>
      </c>
      <c r="G11" s="14" t="s">
        <v>109</v>
      </c>
      <c r="H11" s="14" t="s">
        <v>3134</v>
      </c>
      <c r="I11" s="14"/>
      <c r="J11" s="16" t="s">
        <v>51</v>
      </c>
      <c r="K11" s="14" t="s">
        <v>3093</v>
      </c>
    </row>
    <row r="12" spans="1:11" ht="84" customHeight="1">
      <c r="A12" s="13" t="s">
        <v>3135</v>
      </c>
      <c r="B12" s="14" t="s">
        <v>3118</v>
      </c>
      <c r="C12" s="14" t="s">
        <v>3136</v>
      </c>
      <c r="D12" s="15" t="s">
        <v>43</v>
      </c>
      <c r="E12" s="13" t="s">
        <v>45</v>
      </c>
      <c r="F12" s="14" t="s">
        <v>3137</v>
      </c>
      <c r="G12" s="14" t="s">
        <v>3138</v>
      </c>
      <c r="H12" s="14" t="s">
        <v>3139</v>
      </c>
      <c r="I12" s="14"/>
      <c r="J12" s="16" t="s">
        <v>51</v>
      </c>
      <c r="K12" s="14" t="s">
        <v>3093</v>
      </c>
    </row>
    <row r="13" spans="1:11" ht="84" customHeight="1">
      <c r="A13" s="17" t="s">
        <v>3140</v>
      </c>
      <c r="B13" s="18" t="s">
        <v>3118</v>
      </c>
      <c r="C13" s="18" t="s">
        <v>3141</v>
      </c>
      <c r="D13" s="19" t="s">
        <v>44</v>
      </c>
      <c r="E13" s="17" t="s">
        <v>46</v>
      </c>
      <c r="F13" s="18" t="s">
        <v>3142</v>
      </c>
      <c r="G13" s="18" t="s">
        <v>3143</v>
      </c>
      <c r="H13" s="18" t="s">
        <v>3144</v>
      </c>
      <c r="I13" s="18"/>
      <c r="J13" s="16" t="s">
        <v>51</v>
      </c>
      <c r="K13" s="18" t="s">
        <v>3093</v>
      </c>
    </row>
    <row r="14" spans="1:11" ht="84" customHeight="1">
      <c r="A14" s="13" t="s">
        <v>3145</v>
      </c>
      <c r="B14" s="14" t="s">
        <v>3118</v>
      </c>
      <c r="C14" s="14" t="s">
        <v>3146</v>
      </c>
      <c r="D14" s="15" t="s">
        <v>43</v>
      </c>
      <c r="E14" s="13" t="s">
        <v>47</v>
      </c>
      <c r="F14" s="14" t="s">
        <v>3147</v>
      </c>
      <c r="G14" s="14" t="s">
        <v>3148</v>
      </c>
      <c r="H14" s="14" t="s">
        <v>3149</v>
      </c>
      <c r="I14" s="14"/>
      <c r="J14" s="16" t="s">
        <v>51</v>
      </c>
      <c r="K14" s="14" t="s">
        <v>3093</v>
      </c>
    </row>
    <row r="15" spans="1:11" ht="84" customHeight="1">
      <c r="A15" s="13" t="s">
        <v>3150</v>
      </c>
      <c r="B15" s="14" t="s">
        <v>3151</v>
      </c>
      <c r="C15" s="14" t="s">
        <v>3152</v>
      </c>
      <c r="D15" s="15" t="s">
        <v>43</v>
      </c>
      <c r="E15" s="13" t="s">
        <v>45</v>
      </c>
      <c r="F15" s="14" t="s">
        <v>3153</v>
      </c>
      <c r="G15" s="14" t="s">
        <v>3154</v>
      </c>
      <c r="H15" s="14" t="s">
        <v>3155</v>
      </c>
      <c r="I15" s="14"/>
      <c r="J15" s="16" t="s">
        <v>51</v>
      </c>
      <c r="K15" s="14" t="s">
        <v>3093</v>
      </c>
    </row>
    <row r="16" spans="1:11" ht="84" customHeight="1">
      <c r="A16" s="13" t="s">
        <v>3156</v>
      </c>
      <c r="B16" s="14" t="s">
        <v>3151</v>
      </c>
      <c r="C16" s="14" t="s">
        <v>3157</v>
      </c>
      <c r="D16" s="15" t="s">
        <v>43</v>
      </c>
      <c r="E16" s="13" t="s">
        <v>45</v>
      </c>
      <c r="F16" s="14" t="s">
        <v>3158</v>
      </c>
      <c r="G16" s="14" t="s">
        <v>3159</v>
      </c>
      <c r="H16" s="14" t="s">
        <v>3160</v>
      </c>
      <c r="I16" s="14"/>
      <c r="J16" s="16" t="s">
        <v>51</v>
      </c>
      <c r="K16" s="14" t="s">
        <v>3093</v>
      </c>
    </row>
    <row r="17" spans="1:11" ht="84" customHeight="1">
      <c r="A17" s="17" t="s">
        <v>3161</v>
      </c>
      <c r="B17" s="18" t="s">
        <v>3151</v>
      </c>
      <c r="C17" s="18" t="s">
        <v>3162</v>
      </c>
      <c r="D17" s="19" t="s">
        <v>44</v>
      </c>
      <c r="E17" s="17" t="s">
        <v>46</v>
      </c>
      <c r="F17" s="18" t="s">
        <v>3163</v>
      </c>
      <c r="G17" s="18" t="s">
        <v>3164</v>
      </c>
      <c r="H17" s="18" t="s">
        <v>3165</v>
      </c>
      <c r="I17" s="18"/>
      <c r="J17" s="16" t="s">
        <v>51</v>
      </c>
      <c r="K17" s="18" t="s">
        <v>3093</v>
      </c>
    </row>
    <row r="18" spans="1:11" ht="84" customHeight="1">
      <c r="A18" s="13" t="s">
        <v>3166</v>
      </c>
      <c r="B18" s="14" t="s">
        <v>3151</v>
      </c>
      <c r="C18" s="14" t="s">
        <v>3167</v>
      </c>
      <c r="D18" s="15" t="s">
        <v>43</v>
      </c>
      <c r="E18" s="13" t="s">
        <v>46</v>
      </c>
      <c r="F18" s="14" t="s">
        <v>3168</v>
      </c>
      <c r="G18" s="14" t="s">
        <v>3169</v>
      </c>
      <c r="H18" s="14" t="s">
        <v>3170</v>
      </c>
      <c r="I18" s="14"/>
      <c r="J18" s="16" t="s">
        <v>51</v>
      </c>
      <c r="K18" s="14" t="s">
        <v>3093</v>
      </c>
    </row>
    <row r="19" spans="1:11" ht="84" customHeight="1">
      <c r="A19" s="17" t="s">
        <v>3171</v>
      </c>
      <c r="B19" s="18" t="s">
        <v>3151</v>
      </c>
      <c r="C19" s="18" t="s">
        <v>3172</v>
      </c>
      <c r="D19" s="19" t="s">
        <v>44</v>
      </c>
      <c r="E19" s="17" t="s">
        <v>45</v>
      </c>
      <c r="F19" s="18" t="s">
        <v>3173</v>
      </c>
      <c r="G19" s="18" t="s">
        <v>3174</v>
      </c>
      <c r="H19" s="18" t="s">
        <v>3175</v>
      </c>
      <c r="I19" s="18"/>
      <c r="J19" s="16" t="s">
        <v>51</v>
      </c>
      <c r="K19" s="18" t="s">
        <v>3093</v>
      </c>
    </row>
    <row r="20" spans="1:11" ht="84" customHeight="1">
      <c r="A20" s="13" t="s">
        <v>3176</v>
      </c>
      <c r="B20" s="14" t="s">
        <v>3177</v>
      </c>
      <c r="C20" s="14" t="s">
        <v>3178</v>
      </c>
      <c r="D20" s="15" t="s">
        <v>43</v>
      </c>
      <c r="E20" s="13" t="s">
        <v>45</v>
      </c>
      <c r="F20" s="14" t="s">
        <v>3179</v>
      </c>
      <c r="G20" s="14" t="s">
        <v>109</v>
      </c>
      <c r="H20" s="14" t="s">
        <v>3180</v>
      </c>
      <c r="I20" s="14"/>
      <c r="J20" s="16" t="s">
        <v>51</v>
      </c>
      <c r="K20" s="14" t="s">
        <v>3093</v>
      </c>
    </row>
    <row r="21" spans="1:11" ht="84" customHeight="1">
      <c r="A21" s="13" t="s">
        <v>3181</v>
      </c>
      <c r="B21" s="14" t="s">
        <v>3177</v>
      </c>
      <c r="C21" s="14" t="s">
        <v>3182</v>
      </c>
      <c r="D21" s="15" t="s">
        <v>43</v>
      </c>
      <c r="E21" s="13" t="s">
        <v>45</v>
      </c>
      <c r="F21" s="14" t="s">
        <v>3183</v>
      </c>
      <c r="G21" s="14" t="s">
        <v>109</v>
      </c>
      <c r="H21" s="14" t="s">
        <v>3184</v>
      </c>
      <c r="I21" s="14"/>
      <c r="J21" s="16" t="s">
        <v>51</v>
      </c>
      <c r="K21" s="14" t="s">
        <v>3093</v>
      </c>
    </row>
    <row r="22" spans="1:11" ht="55.5" customHeight="1">
      <c r="A22" s="17" t="s">
        <v>3185</v>
      </c>
      <c r="B22" s="18" t="s">
        <v>3177</v>
      </c>
      <c r="C22" s="18" t="s">
        <v>3186</v>
      </c>
      <c r="D22" s="19" t="s">
        <v>44</v>
      </c>
      <c r="E22" s="17" t="s">
        <v>46</v>
      </c>
      <c r="F22" s="18" t="s">
        <v>3187</v>
      </c>
      <c r="G22" s="18" t="s">
        <v>3188</v>
      </c>
      <c r="H22" s="18" t="s">
        <v>3189</v>
      </c>
      <c r="I22" s="18"/>
      <c r="J22" s="16" t="s">
        <v>51</v>
      </c>
      <c r="K22" s="18" t="s">
        <v>3190</v>
      </c>
    </row>
    <row r="23" spans="1:11" ht="84" customHeight="1">
      <c r="A23" s="17" t="s">
        <v>3191</v>
      </c>
      <c r="B23" s="18" t="s">
        <v>3177</v>
      </c>
      <c r="C23" s="18" t="s">
        <v>3192</v>
      </c>
      <c r="D23" s="19" t="s">
        <v>44</v>
      </c>
      <c r="E23" s="17" t="s">
        <v>46</v>
      </c>
      <c r="F23" s="18" t="s">
        <v>3193</v>
      </c>
      <c r="G23" s="18" t="s">
        <v>109</v>
      </c>
      <c r="H23" s="18" t="s">
        <v>3194</v>
      </c>
      <c r="I23" s="18"/>
      <c r="J23" s="16" t="s">
        <v>51</v>
      </c>
      <c r="K23" s="18" t="s">
        <v>3093</v>
      </c>
    </row>
    <row r="24" spans="1:11" ht="84" customHeight="1">
      <c r="A24" s="13" t="s">
        <v>3195</v>
      </c>
      <c r="B24" s="14" t="s">
        <v>3196</v>
      </c>
      <c r="C24" s="14" t="s">
        <v>3197</v>
      </c>
      <c r="D24" s="15" t="s">
        <v>43</v>
      </c>
      <c r="E24" s="13" t="s">
        <v>45</v>
      </c>
      <c r="F24" s="14" t="s">
        <v>3198</v>
      </c>
      <c r="G24" s="14" t="s">
        <v>109</v>
      </c>
      <c r="H24" s="14" t="s">
        <v>3199</v>
      </c>
      <c r="I24" s="14"/>
      <c r="J24" s="16" t="s">
        <v>51</v>
      </c>
      <c r="K24" s="14" t="s">
        <v>3093</v>
      </c>
    </row>
    <row r="25" spans="1:11" ht="84" customHeight="1">
      <c r="A25" s="17" t="s">
        <v>3200</v>
      </c>
      <c r="B25" s="18" t="s">
        <v>3196</v>
      </c>
      <c r="C25" s="18" t="s">
        <v>3201</v>
      </c>
      <c r="D25" s="19" t="s">
        <v>44</v>
      </c>
      <c r="E25" s="17" t="s">
        <v>45</v>
      </c>
      <c r="F25" s="18" t="s">
        <v>3202</v>
      </c>
      <c r="G25" s="18" t="s">
        <v>3203</v>
      </c>
      <c r="H25" s="18" t="s">
        <v>3204</v>
      </c>
      <c r="I25" s="18"/>
      <c r="J25" s="16" t="s">
        <v>51</v>
      </c>
      <c r="K25" s="18" t="s">
        <v>3093</v>
      </c>
    </row>
    <row r="26" spans="1:11" ht="84" customHeight="1">
      <c r="A26" s="17" t="s">
        <v>3205</v>
      </c>
      <c r="B26" s="18" t="s">
        <v>3196</v>
      </c>
      <c r="C26" s="18" t="s">
        <v>3206</v>
      </c>
      <c r="D26" s="19" t="s">
        <v>44</v>
      </c>
      <c r="E26" s="17" t="s">
        <v>45</v>
      </c>
      <c r="F26" s="18" t="s">
        <v>3207</v>
      </c>
      <c r="G26" s="18" t="s">
        <v>3208</v>
      </c>
      <c r="H26" s="18" t="s">
        <v>3209</v>
      </c>
      <c r="I26" s="18"/>
      <c r="J26" s="16" t="s">
        <v>51</v>
      </c>
      <c r="K26" s="18" t="s">
        <v>3093</v>
      </c>
    </row>
    <row r="27" spans="1:11" ht="84" customHeight="1">
      <c r="A27" s="13" t="s">
        <v>3210</v>
      </c>
      <c r="B27" s="14" t="s">
        <v>3196</v>
      </c>
      <c r="C27" s="14" t="s">
        <v>3211</v>
      </c>
      <c r="D27" s="15" t="s">
        <v>43</v>
      </c>
      <c r="E27" s="13" t="s">
        <v>47</v>
      </c>
      <c r="F27" s="14" t="s">
        <v>3212</v>
      </c>
      <c r="G27" s="14" t="s">
        <v>109</v>
      </c>
      <c r="H27" s="14" t="s">
        <v>3213</v>
      </c>
      <c r="I27" s="14"/>
      <c r="J27" s="16" t="s">
        <v>51</v>
      </c>
      <c r="K27" s="14" t="s">
        <v>3093</v>
      </c>
    </row>
    <row r="28" spans="1:11" ht="84" customHeight="1">
      <c r="A28" s="17" t="s">
        <v>3214</v>
      </c>
      <c r="B28" s="18" t="s">
        <v>3196</v>
      </c>
      <c r="C28" s="18" t="s">
        <v>3215</v>
      </c>
      <c r="D28" s="19" t="s">
        <v>44</v>
      </c>
      <c r="E28" s="17" t="s">
        <v>46</v>
      </c>
      <c r="F28" s="18" t="s">
        <v>3216</v>
      </c>
      <c r="G28" s="18" t="s">
        <v>3217</v>
      </c>
      <c r="H28" s="18" t="s">
        <v>3218</v>
      </c>
      <c r="I28" s="18"/>
      <c r="J28" s="16" t="s">
        <v>51</v>
      </c>
      <c r="K28" s="18" t="s">
        <v>3093</v>
      </c>
    </row>
    <row r="29" spans="1:11" ht="84" customHeight="1">
      <c r="A29" s="13" t="s">
        <v>3219</v>
      </c>
      <c r="B29" s="14" t="s">
        <v>3220</v>
      </c>
      <c r="C29" s="14" t="s">
        <v>3221</v>
      </c>
      <c r="D29" s="15" t="s">
        <v>43</v>
      </c>
      <c r="E29" s="13" t="s">
        <v>46</v>
      </c>
      <c r="F29" s="14" t="s">
        <v>3222</v>
      </c>
      <c r="G29" s="14" t="s">
        <v>3223</v>
      </c>
      <c r="H29" s="14" t="s">
        <v>3224</v>
      </c>
      <c r="I29" s="14"/>
      <c r="J29" s="16" t="s">
        <v>51</v>
      </c>
      <c r="K29" s="14" t="s">
        <v>3093</v>
      </c>
    </row>
    <row r="30" spans="1:11" ht="84" customHeight="1">
      <c r="A30" s="17" t="s">
        <v>3225</v>
      </c>
      <c r="B30" s="18" t="s">
        <v>3220</v>
      </c>
      <c r="C30" s="18" t="s">
        <v>3226</v>
      </c>
      <c r="D30" s="19" t="s">
        <v>44</v>
      </c>
      <c r="E30" s="17" t="s">
        <v>46</v>
      </c>
      <c r="F30" s="18" t="s">
        <v>3227</v>
      </c>
      <c r="G30" s="18" t="s">
        <v>3228</v>
      </c>
      <c r="H30" s="18" t="s">
        <v>3229</v>
      </c>
      <c r="I30" s="18"/>
      <c r="J30" s="16" t="s">
        <v>51</v>
      </c>
      <c r="K30" s="18" t="s">
        <v>3093</v>
      </c>
    </row>
    <row r="31" spans="1:11" ht="84" customHeight="1">
      <c r="A31" s="17" t="s">
        <v>3230</v>
      </c>
      <c r="B31" s="18" t="s">
        <v>3220</v>
      </c>
      <c r="C31" s="18" t="s">
        <v>3231</v>
      </c>
      <c r="D31" s="19" t="s">
        <v>44</v>
      </c>
      <c r="E31" s="17" t="s">
        <v>46</v>
      </c>
      <c r="F31" s="18" t="s">
        <v>3232</v>
      </c>
      <c r="G31" s="18" t="s">
        <v>3233</v>
      </c>
      <c r="H31" s="18" t="s">
        <v>3234</v>
      </c>
      <c r="I31" s="18"/>
      <c r="J31" s="16" t="s">
        <v>51</v>
      </c>
      <c r="K31" s="18" t="s">
        <v>3093</v>
      </c>
    </row>
    <row r="32" spans="1:11" ht="84" customHeight="1">
      <c r="A32" s="13" t="s">
        <v>3235</v>
      </c>
      <c r="B32" s="14" t="s">
        <v>3220</v>
      </c>
      <c r="C32" s="14" t="s">
        <v>3236</v>
      </c>
      <c r="D32" s="15" t="s">
        <v>43</v>
      </c>
      <c r="E32" s="13" t="s">
        <v>47</v>
      </c>
      <c r="F32" s="14" t="s">
        <v>3237</v>
      </c>
      <c r="G32" s="14" t="s">
        <v>3238</v>
      </c>
      <c r="H32" s="14" t="s">
        <v>3239</v>
      </c>
      <c r="I32" s="14"/>
      <c r="J32" s="16" t="s">
        <v>51</v>
      </c>
      <c r="K32" s="14" t="s">
        <v>3093</v>
      </c>
    </row>
    <row r="33" spans="1:11" ht="84" customHeight="1">
      <c r="A33" s="13" t="s">
        <v>3240</v>
      </c>
      <c r="B33" s="14" t="s">
        <v>3220</v>
      </c>
      <c r="C33" s="14" t="s">
        <v>3241</v>
      </c>
      <c r="D33" s="15" t="s">
        <v>43</v>
      </c>
      <c r="E33" s="13" t="s">
        <v>45</v>
      </c>
      <c r="F33" s="14" t="s">
        <v>3242</v>
      </c>
      <c r="G33" s="14" t="s">
        <v>3243</v>
      </c>
      <c r="H33" s="14" t="s">
        <v>3244</v>
      </c>
      <c r="I33" s="14"/>
      <c r="J33" s="16" t="s">
        <v>51</v>
      </c>
      <c r="K33" s="14" t="s">
        <v>3093</v>
      </c>
    </row>
    <row r="34" spans="1:11" ht="84" customHeight="1">
      <c r="A34" s="17" t="s">
        <v>3245</v>
      </c>
      <c r="B34" s="18" t="s">
        <v>3220</v>
      </c>
      <c r="C34" s="18" t="s">
        <v>3246</v>
      </c>
      <c r="D34" s="19" t="s">
        <v>44</v>
      </c>
      <c r="E34" s="17" t="s">
        <v>45</v>
      </c>
      <c r="F34" s="18" t="s">
        <v>3247</v>
      </c>
      <c r="G34" s="18" t="s">
        <v>3248</v>
      </c>
      <c r="H34" s="18" t="s">
        <v>3249</v>
      </c>
      <c r="I34" s="18"/>
      <c r="J34" s="16" t="s">
        <v>51</v>
      </c>
      <c r="K34" s="18" t="s">
        <v>3093</v>
      </c>
    </row>
    <row r="35" spans="1:11" ht="84" customHeight="1">
      <c r="A35" s="17" t="s">
        <v>3250</v>
      </c>
      <c r="B35" s="18" t="s">
        <v>3220</v>
      </c>
      <c r="C35" s="18" t="s">
        <v>3251</v>
      </c>
      <c r="D35" s="19" t="s">
        <v>44</v>
      </c>
      <c r="E35" s="17" t="s">
        <v>46</v>
      </c>
      <c r="F35" s="18" t="s">
        <v>3252</v>
      </c>
      <c r="G35" s="18" t="s">
        <v>3253</v>
      </c>
      <c r="H35" s="18" t="s">
        <v>3254</v>
      </c>
      <c r="I35" s="18"/>
      <c r="J35" s="16" t="s">
        <v>51</v>
      </c>
      <c r="K35" s="18" t="s">
        <v>3093</v>
      </c>
    </row>
    <row r="36" spans="1:11" ht="55.5" customHeight="1">
      <c r="A36" s="17" t="s">
        <v>3255</v>
      </c>
      <c r="B36" s="18" t="s">
        <v>3220</v>
      </c>
      <c r="C36" s="18" t="s">
        <v>3256</v>
      </c>
      <c r="D36" s="19" t="s">
        <v>44</v>
      </c>
      <c r="E36" s="17" t="s">
        <v>46</v>
      </c>
      <c r="F36" s="18" t="s">
        <v>3257</v>
      </c>
      <c r="G36" s="18" t="s">
        <v>3258</v>
      </c>
      <c r="H36" s="18" t="s">
        <v>3259</v>
      </c>
      <c r="I36" s="18"/>
      <c r="J36" s="16" t="s">
        <v>51</v>
      </c>
      <c r="K36" s="18" t="s">
        <v>3260</v>
      </c>
    </row>
    <row r="37" spans="1:11" ht="84" customHeight="1">
      <c r="A37" s="13" t="s">
        <v>3261</v>
      </c>
      <c r="B37" s="14" t="s">
        <v>3220</v>
      </c>
      <c r="C37" s="14" t="s">
        <v>3262</v>
      </c>
      <c r="D37" s="15" t="s">
        <v>43</v>
      </c>
      <c r="E37" s="13" t="s">
        <v>46</v>
      </c>
      <c r="F37" s="14" t="s">
        <v>3263</v>
      </c>
      <c r="G37" s="14" t="s">
        <v>3264</v>
      </c>
      <c r="H37" s="14" t="s">
        <v>3265</v>
      </c>
      <c r="I37" s="14"/>
      <c r="J37" s="16" t="s">
        <v>51</v>
      </c>
      <c r="K37" s="14" t="s">
        <v>3093</v>
      </c>
    </row>
    <row r="38" spans="1:11" ht="84" customHeight="1">
      <c r="A38" s="17" t="s">
        <v>3266</v>
      </c>
      <c r="B38" s="18" t="s">
        <v>3220</v>
      </c>
      <c r="C38" s="18" t="s">
        <v>3267</v>
      </c>
      <c r="D38" s="19" t="s">
        <v>44</v>
      </c>
      <c r="E38" s="17" t="s">
        <v>46</v>
      </c>
      <c r="F38" s="18" t="s">
        <v>3268</v>
      </c>
      <c r="G38" s="18" t="s">
        <v>3269</v>
      </c>
      <c r="H38" s="18" t="s">
        <v>3270</v>
      </c>
      <c r="I38" s="18"/>
      <c r="J38" s="16" t="s">
        <v>51</v>
      </c>
      <c r="K38" s="18" t="s">
        <v>3093</v>
      </c>
    </row>
    <row r="39" spans="1:11" ht="84" customHeight="1">
      <c r="A39" s="17" t="s">
        <v>3271</v>
      </c>
      <c r="B39" s="18" t="s">
        <v>3220</v>
      </c>
      <c r="C39" s="18" t="s">
        <v>3272</v>
      </c>
      <c r="D39" s="19" t="s">
        <v>44</v>
      </c>
      <c r="E39" s="17" t="s">
        <v>47</v>
      </c>
      <c r="F39" s="18" t="s">
        <v>3273</v>
      </c>
      <c r="G39" s="18" t="s">
        <v>3274</v>
      </c>
      <c r="H39" s="18" t="s">
        <v>3275</v>
      </c>
      <c r="I39" s="18"/>
      <c r="J39" s="16" t="s">
        <v>51</v>
      </c>
      <c r="K39" s="18" t="s">
        <v>3093</v>
      </c>
    </row>
    <row r="40" spans="1:11" ht="84" customHeight="1">
      <c r="A40" s="17" t="s">
        <v>3276</v>
      </c>
      <c r="B40" s="18" t="s">
        <v>3220</v>
      </c>
      <c r="C40" s="18" t="s">
        <v>3277</v>
      </c>
      <c r="D40" s="19" t="s">
        <v>44</v>
      </c>
      <c r="E40" s="17" t="s">
        <v>45</v>
      </c>
      <c r="F40" s="18" t="s">
        <v>3278</v>
      </c>
      <c r="G40" s="18" t="s">
        <v>3279</v>
      </c>
      <c r="H40" s="18" t="s">
        <v>3280</v>
      </c>
      <c r="I40" s="18"/>
      <c r="J40" s="16" t="s">
        <v>51</v>
      </c>
      <c r="K40" s="18" t="s">
        <v>3093</v>
      </c>
    </row>
    <row r="41" spans="1:11" ht="84" customHeight="1">
      <c r="A41" s="17" t="s">
        <v>3281</v>
      </c>
      <c r="B41" s="18" t="s">
        <v>3220</v>
      </c>
      <c r="C41" s="18" t="s">
        <v>3282</v>
      </c>
      <c r="D41" s="19" t="s">
        <v>44</v>
      </c>
      <c r="E41" s="17" t="s">
        <v>47</v>
      </c>
      <c r="F41" s="18" t="s">
        <v>3283</v>
      </c>
      <c r="G41" s="18" t="s">
        <v>3284</v>
      </c>
      <c r="H41" s="18" t="s">
        <v>3285</v>
      </c>
      <c r="I41" s="18"/>
      <c r="J41" s="16" t="s">
        <v>51</v>
      </c>
      <c r="K41" s="18" t="s">
        <v>3093</v>
      </c>
    </row>
    <row r="42" spans="1:11" ht="84" customHeight="1">
      <c r="A42" s="13" t="s">
        <v>3286</v>
      </c>
      <c r="B42" s="14" t="s">
        <v>3220</v>
      </c>
      <c r="C42" s="14" t="s">
        <v>3287</v>
      </c>
      <c r="D42" s="15" t="s">
        <v>43</v>
      </c>
      <c r="E42" s="13" t="s">
        <v>46</v>
      </c>
      <c r="F42" s="14" t="s">
        <v>3288</v>
      </c>
      <c r="G42" s="14" t="s">
        <v>3264</v>
      </c>
      <c r="H42" s="14" t="s">
        <v>3289</v>
      </c>
      <c r="I42" s="14"/>
      <c r="J42" s="16" t="s">
        <v>51</v>
      </c>
      <c r="K42" s="14" t="s">
        <v>3093</v>
      </c>
    </row>
    <row r="43" spans="1:11" ht="84" customHeight="1">
      <c r="A43" s="13" t="s">
        <v>3290</v>
      </c>
      <c r="B43" s="14" t="s">
        <v>3220</v>
      </c>
      <c r="C43" s="14" t="s">
        <v>3291</v>
      </c>
      <c r="D43" s="15" t="s">
        <v>43</v>
      </c>
      <c r="E43" s="13" t="s">
        <v>46</v>
      </c>
      <c r="F43" s="14" t="s">
        <v>3292</v>
      </c>
      <c r="G43" s="14" t="s">
        <v>3293</v>
      </c>
      <c r="H43" s="14" t="s">
        <v>3294</v>
      </c>
      <c r="I43" s="14"/>
      <c r="J43" s="16" t="s">
        <v>51</v>
      </c>
      <c r="K43" s="14" t="s">
        <v>3093</v>
      </c>
    </row>
    <row r="44" spans="1:11" ht="84" customHeight="1">
      <c r="A44" s="13" t="s">
        <v>3295</v>
      </c>
      <c r="B44" s="14" t="s">
        <v>3220</v>
      </c>
      <c r="C44" s="14" t="s">
        <v>3296</v>
      </c>
      <c r="D44" s="15" t="s">
        <v>43</v>
      </c>
      <c r="E44" s="13" t="s">
        <v>46</v>
      </c>
      <c r="F44" s="14" t="s">
        <v>3297</v>
      </c>
      <c r="G44" s="14" t="s">
        <v>3298</v>
      </c>
      <c r="H44" s="14" t="s">
        <v>3299</v>
      </c>
      <c r="I44" s="14"/>
      <c r="J44" s="16" t="s">
        <v>51</v>
      </c>
      <c r="K44" s="14" t="s">
        <v>3093</v>
      </c>
    </row>
    <row r="45" spans="1:11" ht="84" customHeight="1">
      <c r="A45" s="17" t="s">
        <v>3300</v>
      </c>
      <c r="B45" s="18" t="s">
        <v>3220</v>
      </c>
      <c r="C45" s="18" t="s">
        <v>3301</v>
      </c>
      <c r="D45" s="19" t="s">
        <v>44</v>
      </c>
      <c r="E45" s="17" t="s">
        <v>46</v>
      </c>
      <c r="F45" s="18" t="s">
        <v>3302</v>
      </c>
      <c r="G45" s="18" t="s">
        <v>3303</v>
      </c>
      <c r="H45" s="18" t="s">
        <v>3304</v>
      </c>
      <c r="I45" s="18"/>
      <c r="J45" s="16" t="s">
        <v>51</v>
      </c>
      <c r="K45" s="18" t="s">
        <v>3093</v>
      </c>
    </row>
    <row r="46" spans="1:11" ht="84" customHeight="1">
      <c r="A46" s="13" t="s">
        <v>3305</v>
      </c>
      <c r="B46" s="14" t="s">
        <v>3220</v>
      </c>
      <c r="C46" s="14" t="s">
        <v>3306</v>
      </c>
      <c r="D46" s="15" t="s">
        <v>43</v>
      </c>
      <c r="E46" s="13" t="s">
        <v>46</v>
      </c>
      <c r="F46" s="14" t="s">
        <v>3307</v>
      </c>
      <c r="G46" s="14" t="s">
        <v>3308</v>
      </c>
      <c r="H46" s="14" t="s">
        <v>3224</v>
      </c>
      <c r="I46" s="14"/>
      <c r="J46" s="16" t="s">
        <v>51</v>
      </c>
      <c r="K46" s="14" t="s">
        <v>3093</v>
      </c>
    </row>
    <row r="47" spans="1:11" ht="84" customHeight="1">
      <c r="A47" s="17" t="s">
        <v>3309</v>
      </c>
      <c r="B47" s="18" t="s">
        <v>3220</v>
      </c>
      <c r="C47" s="18" t="s">
        <v>3310</v>
      </c>
      <c r="D47" s="19" t="s">
        <v>44</v>
      </c>
      <c r="E47" s="17" t="s">
        <v>46</v>
      </c>
      <c r="F47" s="18" t="s">
        <v>3311</v>
      </c>
      <c r="G47" s="18" t="s">
        <v>3312</v>
      </c>
      <c r="H47" s="18" t="s">
        <v>3229</v>
      </c>
      <c r="I47" s="18"/>
      <c r="J47" s="16" t="s">
        <v>51</v>
      </c>
      <c r="K47" s="18" t="s">
        <v>3093</v>
      </c>
    </row>
    <row r="48" spans="1:11" ht="84" customHeight="1">
      <c r="A48" s="17" t="s">
        <v>3313</v>
      </c>
      <c r="B48" s="18" t="s">
        <v>3220</v>
      </c>
      <c r="C48" s="18" t="s">
        <v>3314</v>
      </c>
      <c r="D48" s="19" t="s">
        <v>44</v>
      </c>
      <c r="E48" s="17" t="s">
        <v>46</v>
      </c>
      <c r="F48" s="18" t="s">
        <v>3315</v>
      </c>
      <c r="G48" s="18" t="s">
        <v>3316</v>
      </c>
      <c r="H48" s="18" t="s">
        <v>3317</v>
      </c>
      <c r="I48" s="18"/>
      <c r="J48" s="16" t="s">
        <v>51</v>
      </c>
      <c r="K48" s="18" t="s">
        <v>3093</v>
      </c>
    </row>
    <row r="49" spans="1:11" ht="84" customHeight="1">
      <c r="A49" s="13" t="s">
        <v>3318</v>
      </c>
      <c r="B49" s="14" t="s">
        <v>3220</v>
      </c>
      <c r="C49" s="14" t="s">
        <v>3319</v>
      </c>
      <c r="D49" s="15" t="s">
        <v>43</v>
      </c>
      <c r="E49" s="13" t="s">
        <v>47</v>
      </c>
      <c r="F49" s="14" t="s">
        <v>3320</v>
      </c>
      <c r="G49" s="14" t="s">
        <v>3321</v>
      </c>
      <c r="H49" s="14" t="s">
        <v>3239</v>
      </c>
      <c r="I49" s="14"/>
      <c r="J49" s="16" t="s">
        <v>51</v>
      </c>
      <c r="K49" s="14" t="s">
        <v>3093</v>
      </c>
    </row>
    <row r="50" spans="1:11" ht="84" customHeight="1">
      <c r="A50" s="13" t="s">
        <v>3322</v>
      </c>
      <c r="B50" s="14" t="s">
        <v>3220</v>
      </c>
      <c r="C50" s="14" t="s">
        <v>3323</v>
      </c>
      <c r="D50" s="15" t="s">
        <v>43</v>
      </c>
      <c r="E50" s="13" t="s">
        <v>45</v>
      </c>
      <c r="F50" s="14" t="s">
        <v>3324</v>
      </c>
      <c r="G50" s="14" t="s">
        <v>3325</v>
      </c>
      <c r="H50" s="14" t="s">
        <v>3326</v>
      </c>
      <c r="I50" s="14"/>
      <c r="J50" s="16" t="s">
        <v>51</v>
      </c>
      <c r="K50" s="14" t="s">
        <v>3093</v>
      </c>
    </row>
    <row r="51" spans="1:11" ht="84" customHeight="1">
      <c r="A51" s="13" t="s">
        <v>3327</v>
      </c>
      <c r="B51" s="14" t="s">
        <v>3220</v>
      </c>
      <c r="C51" s="14" t="s">
        <v>3328</v>
      </c>
      <c r="D51" s="15" t="s">
        <v>43</v>
      </c>
      <c r="E51" s="13" t="s">
        <v>45</v>
      </c>
      <c r="F51" s="14" t="s">
        <v>3329</v>
      </c>
      <c r="G51" s="14" t="s">
        <v>3330</v>
      </c>
      <c r="H51" s="14" t="s">
        <v>3331</v>
      </c>
      <c r="I51" s="14"/>
      <c r="J51" s="16" t="s">
        <v>51</v>
      </c>
      <c r="K51" s="14" t="s">
        <v>3093</v>
      </c>
    </row>
    <row r="52" spans="1:11" ht="84" customHeight="1">
      <c r="A52" s="13" t="s">
        <v>3332</v>
      </c>
      <c r="B52" s="14" t="s">
        <v>3220</v>
      </c>
      <c r="C52" s="14" t="s">
        <v>3333</v>
      </c>
      <c r="D52" s="15" t="s">
        <v>43</v>
      </c>
      <c r="E52" s="13" t="s">
        <v>45</v>
      </c>
      <c r="F52" s="14" t="s">
        <v>3334</v>
      </c>
      <c r="G52" s="14" t="s">
        <v>3335</v>
      </c>
      <c r="H52" s="14" t="s">
        <v>3336</v>
      </c>
      <c r="I52" s="14"/>
      <c r="J52" s="16" t="s">
        <v>51</v>
      </c>
      <c r="K52" s="14" t="s">
        <v>3093</v>
      </c>
    </row>
    <row r="53" spans="1:11" ht="84" customHeight="1">
      <c r="A53" s="13" t="s">
        <v>3337</v>
      </c>
      <c r="B53" s="14" t="s">
        <v>3338</v>
      </c>
      <c r="C53" s="14" t="s">
        <v>3339</v>
      </c>
      <c r="D53" s="15" t="s">
        <v>43</v>
      </c>
      <c r="E53" s="13" t="s">
        <v>45</v>
      </c>
      <c r="F53" s="14" t="s">
        <v>3340</v>
      </c>
      <c r="G53" s="14" t="s">
        <v>2911</v>
      </c>
      <c r="H53" s="14" t="s">
        <v>3341</v>
      </c>
      <c r="I53" s="14"/>
      <c r="J53" s="16" t="s">
        <v>51</v>
      </c>
      <c r="K53" s="14" t="s">
        <v>3093</v>
      </c>
    </row>
    <row r="54" spans="1:11" ht="84" customHeight="1">
      <c r="A54" s="17" t="s">
        <v>3342</v>
      </c>
      <c r="B54" s="18" t="s">
        <v>3338</v>
      </c>
      <c r="C54" s="18" t="s">
        <v>3343</v>
      </c>
      <c r="D54" s="19" t="s">
        <v>44</v>
      </c>
      <c r="E54" s="17" t="s">
        <v>45</v>
      </c>
      <c r="F54" s="18" t="s">
        <v>3344</v>
      </c>
      <c r="G54" s="18" t="s">
        <v>3345</v>
      </c>
      <c r="H54" s="18" t="s">
        <v>3346</v>
      </c>
      <c r="I54" s="18"/>
      <c r="J54" s="16" t="s">
        <v>51</v>
      </c>
      <c r="K54" s="18" t="s">
        <v>3093</v>
      </c>
    </row>
    <row r="55" spans="1:11" ht="84" customHeight="1">
      <c r="A55" s="13" t="s">
        <v>3347</v>
      </c>
      <c r="B55" s="14" t="s">
        <v>3338</v>
      </c>
      <c r="C55" s="14" t="s">
        <v>3348</v>
      </c>
      <c r="D55" s="15" t="s">
        <v>43</v>
      </c>
      <c r="E55" s="13" t="s">
        <v>45</v>
      </c>
      <c r="F55" s="14" t="s">
        <v>3349</v>
      </c>
      <c r="G55" s="14" t="s">
        <v>2941</v>
      </c>
      <c r="H55" s="14" t="s">
        <v>3350</v>
      </c>
      <c r="I55" s="14"/>
      <c r="J55" s="16" t="s">
        <v>51</v>
      </c>
      <c r="K55" s="14" t="s">
        <v>3093</v>
      </c>
    </row>
    <row r="56" spans="1:11" ht="84" customHeight="1">
      <c r="A56" s="17" t="s">
        <v>3351</v>
      </c>
      <c r="B56" s="18" t="s">
        <v>3338</v>
      </c>
      <c r="C56" s="18" t="s">
        <v>3352</v>
      </c>
      <c r="D56" s="19" t="s">
        <v>44</v>
      </c>
      <c r="E56" s="17" t="s">
        <v>46</v>
      </c>
      <c r="F56" s="18" t="s">
        <v>3353</v>
      </c>
      <c r="G56" s="18" t="s">
        <v>3354</v>
      </c>
      <c r="H56" s="18" t="s">
        <v>3355</v>
      </c>
      <c r="I56" s="18"/>
      <c r="J56" s="16" t="s">
        <v>51</v>
      </c>
      <c r="K56" s="18" t="s">
        <v>3093</v>
      </c>
    </row>
    <row r="57" spans="1:11" ht="84" customHeight="1">
      <c r="A57" s="17" t="s">
        <v>3356</v>
      </c>
      <c r="B57" s="18" t="s">
        <v>3338</v>
      </c>
      <c r="C57" s="18" t="s">
        <v>3357</v>
      </c>
      <c r="D57" s="19" t="s">
        <v>44</v>
      </c>
      <c r="E57" s="17" t="s">
        <v>45</v>
      </c>
      <c r="F57" s="18" t="s">
        <v>3358</v>
      </c>
      <c r="G57" s="18" t="s">
        <v>3359</v>
      </c>
      <c r="H57" s="18" t="s">
        <v>3360</v>
      </c>
      <c r="I57" s="18"/>
      <c r="J57" s="16" t="s">
        <v>51</v>
      </c>
      <c r="K57" s="18" t="s">
        <v>3093</v>
      </c>
    </row>
    <row r="58" spans="1:11" ht="84" customHeight="1">
      <c r="A58" s="13" t="s">
        <v>3361</v>
      </c>
      <c r="B58" s="14" t="s">
        <v>3338</v>
      </c>
      <c r="C58" s="14" t="s">
        <v>3362</v>
      </c>
      <c r="D58" s="15" t="s">
        <v>43</v>
      </c>
      <c r="E58" s="13" t="s">
        <v>46</v>
      </c>
      <c r="F58" s="14" t="s">
        <v>3363</v>
      </c>
      <c r="G58" s="14" t="s">
        <v>109</v>
      </c>
      <c r="H58" s="14" t="s">
        <v>3364</v>
      </c>
      <c r="I58" s="14"/>
      <c r="J58" s="16" t="s">
        <v>51</v>
      </c>
      <c r="K58" s="14" t="s">
        <v>3093</v>
      </c>
    </row>
    <row r="59" spans="1:11" ht="84" customHeight="1">
      <c r="A59" s="13" t="s">
        <v>3365</v>
      </c>
      <c r="B59" s="14" t="s">
        <v>3366</v>
      </c>
      <c r="C59" s="14" t="s">
        <v>3367</v>
      </c>
      <c r="D59" s="15" t="s">
        <v>43</v>
      </c>
      <c r="E59" s="13" t="s">
        <v>45</v>
      </c>
      <c r="F59" s="14" t="s">
        <v>3368</v>
      </c>
      <c r="G59" s="14" t="s">
        <v>3369</v>
      </c>
      <c r="H59" s="14" t="s">
        <v>3370</v>
      </c>
      <c r="I59" s="14"/>
      <c r="J59" s="16" t="s">
        <v>51</v>
      </c>
      <c r="K59" s="14" t="s">
        <v>3093</v>
      </c>
    </row>
    <row r="60" spans="1:11" ht="84" customHeight="1">
      <c r="A60" s="13" t="s">
        <v>3371</v>
      </c>
      <c r="B60" s="14" t="s">
        <v>3366</v>
      </c>
      <c r="C60" s="14" t="s">
        <v>3372</v>
      </c>
      <c r="D60" s="15" t="s">
        <v>43</v>
      </c>
      <c r="E60" s="13" t="s">
        <v>45</v>
      </c>
      <c r="F60" s="14" t="s">
        <v>3373</v>
      </c>
      <c r="G60" s="14" t="s">
        <v>109</v>
      </c>
      <c r="H60" s="14" t="s">
        <v>3374</v>
      </c>
      <c r="I60" s="14"/>
      <c r="J60" s="16" t="s">
        <v>51</v>
      </c>
      <c r="K60" s="14" t="s">
        <v>3093</v>
      </c>
    </row>
    <row r="61" spans="1:11" ht="84" customHeight="1">
      <c r="A61" s="17" t="s">
        <v>3375</v>
      </c>
      <c r="B61" s="18" t="s">
        <v>3366</v>
      </c>
      <c r="C61" s="18" t="s">
        <v>3376</v>
      </c>
      <c r="D61" s="19" t="s">
        <v>44</v>
      </c>
      <c r="E61" s="17" t="s">
        <v>45</v>
      </c>
      <c r="F61" s="18" t="s">
        <v>3377</v>
      </c>
      <c r="G61" s="18" t="s">
        <v>3378</v>
      </c>
      <c r="H61" s="18" t="s">
        <v>3379</v>
      </c>
      <c r="I61" s="18"/>
      <c r="J61" s="16" t="s">
        <v>51</v>
      </c>
      <c r="K61" s="18" t="s">
        <v>3093</v>
      </c>
    </row>
    <row r="62" spans="1:11" ht="84" customHeight="1">
      <c r="A62" s="13" t="s">
        <v>3380</v>
      </c>
      <c r="B62" s="14" t="s">
        <v>3366</v>
      </c>
      <c r="C62" s="14" t="s">
        <v>3381</v>
      </c>
      <c r="D62" s="15" t="s">
        <v>43</v>
      </c>
      <c r="E62" s="13" t="s">
        <v>47</v>
      </c>
      <c r="F62" s="14" t="s">
        <v>3382</v>
      </c>
      <c r="G62" s="14" t="s">
        <v>3298</v>
      </c>
      <c r="H62" s="14" t="s">
        <v>3383</v>
      </c>
      <c r="I62" s="14"/>
      <c r="J62" s="16" t="s">
        <v>51</v>
      </c>
      <c r="K62" s="14" t="s">
        <v>3093</v>
      </c>
    </row>
    <row r="63" spans="1:11" ht="84" customHeight="1">
      <c r="A63" s="13" t="s">
        <v>3384</v>
      </c>
      <c r="B63" s="14" t="s">
        <v>3366</v>
      </c>
      <c r="C63" s="14" t="s">
        <v>3385</v>
      </c>
      <c r="D63" s="15" t="s">
        <v>43</v>
      </c>
      <c r="E63" s="13" t="s">
        <v>45</v>
      </c>
      <c r="F63" s="14" t="s">
        <v>3386</v>
      </c>
      <c r="G63" s="14" t="s">
        <v>3387</v>
      </c>
      <c r="H63" s="14" t="s">
        <v>3388</v>
      </c>
      <c r="I63" s="14"/>
      <c r="J63" s="16" t="s">
        <v>51</v>
      </c>
      <c r="K63" s="14" t="s">
        <v>3093</v>
      </c>
    </row>
    <row r="64" spans="1:11" ht="84" customHeight="1">
      <c r="A64" s="13" t="s">
        <v>3389</v>
      </c>
      <c r="B64" s="14" t="s">
        <v>3366</v>
      </c>
      <c r="C64" s="14" t="s">
        <v>3390</v>
      </c>
      <c r="D64" s="15" t="s">
        <v>43</v>
      </c>
      <c r="E64" s="13" t="s">
        <v>46</v>
      </c>
      <c r="F64" s="14" t="s">
        <v>3391</v>
      </c>
      <c r="G64" s="14" t="s">
        <v>3392</v>
      </c>
      <c r="H64" s="14" t="s">
        <v>3393</v>
      </c>
      <c r="I64" s="14"/>
      <c r="J64" s="16" t="s">
        <v>51</v>
      </c>
      <c r="K64" s="14" t="s">
        <v>3093</v>
      </c>
    </row>
    <row r="65" spans="1:11" ht="84" customHeight="1">
      <c r="A65" s="17" t="s">
        <v>3394</v>
      </c>
      <c r="B65" s="18" t="s">
        <v>3366</v>
      </c>
      <c r="C65" s="18" t="s">
        <v>3395</v>
      </c>
      <c r="D65" s="19" t="s">
        <v>44</v>
      </c>
      <c r="E65" s="17" t="s">
        <v>46</v>
      </c>
      <c r="F65" s="18" t="s">
        <v>3396</v>
      </c>
      <c r="G65" s="18" t="s">
        <v>3397</v>
      </c>
      <c r="H65" s="18" t="s">
        <v>3398</v>
      </c>
      <c r="I65" s="18"/>
      <c r="J65" s="16" t="s">
        <v>51</v>
      </c>
      <c r="K65" s="18" t="s">
        <v>3093</v>
      </c>
    </row>
    <row r="66" spans="1:11" ht="84" customHeight="1">
      <c r="A66" s="17" t="s">
        <v>2983</v>
      </c>
      <c r="B66" s="18" t="s">
        <v>2984</v>
      </c>
      <c r="C66" s="18" t="s">
        <v>3399</v>
      </c>
      <c r="D66" s="19" t="s">
        <v>44</v>
      </c>
      <c r="E66" s="17" t="s">
        <v>45</v>
      </c>
      <c r="F66" s="18" t="s">
        <v>3400</v>
      </c>
      <c r="G66" s="18" t="s">
        <v>3401</v>
      </c>
      <c r="H66" s="18" t="s">
        <v>3402</v>
      </c>
      <c r="I66" s="18"/>
      <c r="J66" s="16" t="s">
        <v>51</v>
      </c>
      <c r="K66" s="18" t="s">
        <v>3093</v>
      </c>
    </row>
    <row r="67" spans="1:11" ht="84" customHeight="1">
      <c r="A67" s="17" t="s">
        <v>2989</v>
      </c>
      <c r="B67" s="18" t="s">
        <v>2984</v>
      </c>
      <c r="C67" s="18" t="s">
        <v>3403</v>
      </c>
      <c r="D67" s="19" t="s">
        <v>44</v>
      </c>
      <c r="E67" s="17" t="s">
        <v>45</v>
      </c>
      <c r="F67" s="18" t="s">
        <v>3404</v>
      </c>
      <c r="G67" s="18" t="s">
        <v>3203</v>
      </c>
      <c r="H67" s="18" t="s">
        <v>3405</v>
      </c>
      <c r="I67" s="18"/>
      <c r="J67" s="16" t="s">
        <v>51</v>
      </c>
      <c r="K67" s="18" t="s">
        <v>3093</v>
      </c>
    </row>
    <row r="68" spans="1:11" ht="84" customHeight="1">
      <c r="A68" s="17" t="s">
        <v>2994</v>
      </c>
      <c r="B68" s="18" t="s">
        <v>2984</v>
      </c>
      <c r="C68" s="18" t="s">
        <v>3406</v>
      </c>
      <c r="D68" s="19" t="s">
        <v>44</v>
      </c>
      <c r="E68" s="17" t="s">
        <v>45</v>
      </c>
      <c r="F68" s="18" t="s">
        <v>3407</v>
      </c>
      <c r="G68" s="18" t="s">
        <v>3408</v>
      </c>
      <c r="H68" s="18" t="s">
        <v>3409</v>
      </c>
      <c r="I68" s="18"/>
      <c r="J68" s="16" t="s">
        <v>51</v>
      </c>
      <c r="K68" s="18" t="s">
        <v>3093</v>
      </c>
    </row>
    <row r="69" spans="1:11" ht="84" customHeight="1">
      <c r="A69" s="17" t="s">
        <v>2999</v>
      </c>
      <c r="B69" s="18" t="s">
        <v>2984</v>
      </c>
      <c r="C69" s="18" t="s">
        <v>3410</v>
      </c>
      <c r="D69" s="19" t="s">
        <v>44</v>
      </c>
      <c r="E69" s="17" t="s">
        <v>46</v>
      </c>
      <c r="F69" s="18" t="s">
        <v>3411</v>
      </c>
      <c r="G69" s="18" t="s">
        <v>3412</v>
      </c>
      <c r="H69" s="18" t="s">
        <v>3413</v>
      </c>
      <c r="I69" s="18"/>
      <c r="J69" s="16" t="s">
        <v>51</v>
      </c>
      <c r="K69" s="18" t="s">
        <v>3093</v>
      </c>
    </row>
    <row r="70" spans="1:11" ht="84" customHeight="1">
      <c r="A70" s="17" t="s">
        <v>3005</v>
      </c>
      <c r="B70" s="18" t="s">
        <v>2984</v>
      </c>
      <c r="C70" s="18" t="s">
        <v>3414</v>
      </c>
      <c r="D70" s="19" t="s">
        <v>44</v>
      </c>
      <c r="E70" s="17" t="s">
        <v>46</v>
      </c>
      <c r="F70" s="18" t="s">
        <v>3415</v>
      </c>
      <c r="G70" s="18" t="s">
        <v>3416</v>
      </c>
      <c r="H70" s="18" t="s">
        <v>3417</v>
      </c>
      <c r="I70" s="18"/>
      <c r="J70" s="16" t="s">
        <v>51</v>
      </c>
      <c r="K70" s="18" t="s">
        <v>3093</v>
      </c>
    </row>
    <row r="71" spans="1:11" ht="84" customHeight="1">
      <c r="A71" s="13" t="s">
        <v>3418</v>
      </c>
      <c r="B71" s="14" t="s">
        <v>2984</v>
      </c>
      <c r="C71" s="14" t="s">
        <v>3419</v>
      </c>
      <c r="D71" s="15" t="s">
        <v>43</v>
      </c>
      <c r="E71" s="13" t="s">
        <v>46</v>
      </c>
      <c r="F71" s="14" t="s">
        <v>3420</v>
      </c>
      <c r="G71" s="14" t="s">
        <v>3421</v>
      </c>
      <c r="H71" s="14" t="s">
        <v>3422</v>
      </c>
      <c r="I71" s="14"/>
      <c r="J71" s="16" t="s">
        <v>51</v>
      </c>
      <c r="K71" s="14" t="s">
        <v>3093</v>
      </c>
    </row>
    <row r="72" spans="1:11" ht="111.75" customHeight="1">
      <c r="A72" s="13" t="s">
        <v>2959</v>
      </c>
      <c r="B72" s="14" t="s">
        <v>2960</v>
      </c>
      <c r="C72" s="14" t="s">
        <v>3423</v>
      </c>
      <c r="D72" s="15" t="s">
        <v>43</v>
      </c>
      <c r="E72" s="13" t="s">
        <v>45</v>
      </c>
      <c r="F72" s="14" t="s">
        <v>3424</v>
      </c>
      <c r="G72" s="14" t="s">
        <v>3425</v>
      </c>
      <c r="H72" s="14" t="s">
        <v>3426</v>
      </c>
      <c r="I72" s="14"/>
      <c r="J72" s="16" t="s">
        <v>51</v>
      </c>
      <c r="K72" s="14" t="s">
        <v>3093</v>
      </c>
    </row>
    <row r="73" spans="1:11" ht="84" customHeight="1">
      <c r="A73" s="13" t="s">
        <v>2965</v>
      </c>
      <c r="B73" s="14" t="s">
        <v>2960</v>
      </c>
      <c r="C73" s="14" t="s">
        <v>3427</v>
      </c>
      <c r="D73" s="15" t="s">
        <v>43</v>
      </c>
      <c r="E73" s="13" t="s">
        <v>46</v>
      </c>
      <c r="F73" s="14" t="s">
        <v>3428</v>
      </c>
      <c r="G73" s="14" t="s">
        <v>109</v>
      </c>
      <c r="H73" s="14" t="s">
        <v>3429</v>
      </c>
      <c r="I73" s="14"/>
      <c r="J73" s="16" t="s">
        <v>51</v>
      </c>
      <c r="K73" s="14" t="s">
        <v>3093</v>
      </c>
    </row>
    <row r="74" spans="1:11" ht="84" customHeight="1">
      <c r="A74" s="13" t="s">
        <v>2970</v>
      </c>
      <c r="B74" s="14" t="s">
        <v>2960</v>
      </c>
      <c r="C74" s="14" t="s">
        <v>3430</v>
      </c>
      <c r="D74" s="15" t="s">
        <v>43</v>
      </c>
      <c r="E74" s="13" t="s">
        <v>45</v>
      </c>
      <c r="F74" s="14" t="s">
        <v>3431</v>
      </c>
      <c r="G74" s="14" t="s">
        <v>3432</v>
      </c>
      <c r="H74" s="14" t="s">
        <v>3433</v>
      </c>
      <c r="I74" s="14"/>
      <c r="J74" s="16" t="s">
        <v>51</v>
      </c>
      <c r="K74" s="14" t="s">
        <v>3093</v>
      </c>
    </row>
    <row r="75" spans="1:11" ht="84" customHeight="1">
      <c r="A75" s="17" t="s">
        <v>2975</v>
      </c>
      <c r="B75" s="18" t="s">
        <v>2960</v>
      </c>
      <c r="C75" s="18" t="s">
        <v>3434</v>
      </c>
      <c r="D75" s="19" t="s">
        <v>44</v>
      </c>
      <c r="E75" s="17" t="s">
        <v>45</v>
      </c>
      <c r="F75" s="18" t="s">
        <v>3435</v>
      </c>
      <c r="G75" s="18" t="s">
        <v>3436</v>
      </c>
      <c r="H75" s="18" t="s">
        <v>3437</v>
      </c>
      <c r="I75" s="18"/>
      <c r="J75" s="16" t="s">
        <v>51</v>
      </c>
      <c r="K75" s="18" t="s">
        <v>3093</v>
      </c>
    </row>
  </sheetData>
  <autoFilter ref="A1:K75" xr:uid="{00000000-0009-0000-0000-00000F000000}"/>
  <dataValidations count="3">
    <dataValidation type="list" allowBlank="1" sqref="D2:D75" xr:uid="{00000000-0002-0000-0F00-000000000000}">
      <formula1>"Positive,Negative,Functional - Positive,Functional - Negative,Validation - Positive,Validation - Negative,Defect - Functional,Defect - Validation"</formula1>
      <formula2>0</formula2>
    </dataValidation>
    <dataValidation type="list" allowBlank="1" sqref="E2:E75" xr:uid="{00000000-0002-0000-0F00-000001000000}">
      <formula1>"High,Medium,Low"</formula1>
      <formula2>0</formula2>
    </dataValidation>
    <dataValidation type="list" allowBlank="1" sqref="J2:J75" xr:uid="{00000000-0002-0000-0F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55"/>
  <sheetViews>
    <sheetView zoomScaleNormal="100" workbookViewId="0">
      <selection activeCell="A2" sqref="A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42" customHeight="1">
      <c r="A2" s="13" t="s">
        <v>4457</v>
      </c>
      <c r="B2" s="14" t="s">
        <v>4458</v>
      </c>
      <c r="C2" s="14" t="s">
        <v>4459</v>
      </c>
      <c r="D2" s="15" t="s">
        <v>43</v>
      </c>
      <c r="E2" s="13" t="s">
        <v>45</v>
      </c>
      <c r="F2" s="14" t="s">
        <v>4460</v>
      </c>
      <c r="G2" s="14" t="s">
        <v>109</v>
      </c>
      <c r="H2" s="14" t="s">
        <v>4461</v>
      </c>
      <c r="I2" s="14"/>
      <c r="J2" s="16" t="s">
        <v>51</v>
      </c>
      <c r="K2" s="14"/>
    </row>
    <row r="3" spans="1:11" ht="55.5" customHeight="1">
      <c r="A3" s="13" t="s">
        <v>4462</v>
      </c>
      <c r="B3" s="14" t="s">
        <v>4458</v>
      </c>
      <c r="C3" s="14" t="s">
        <v>4463</v>
      </c>
      <c r="D3" s="15" t="s">
        <v>43</v>
      </c>
      <c r="E3" s="13" t="s">
        <v>45</v>
      </c>
      <c r="F3" s="14" t="s">
        <v>4464</v>
      </c>
      <c r="G3" s="14" t="s">
        <v>4465</v>
      </c>
      <c r="H3" s="14" t="s">
        <v>4466</v>
      </c>
      <c r="I3" s="14"/>
      <c r="J3" s="16" t="s">
        <v>51</v>
      </c>
      <c r="K3" s="14"/>
    </row>
    <row r="4" spans="1:11" ht="55.5" customHeight="1">
      <c r="A4" s="13" t="s">
        <v>4467</v>
      </c>
      <c r="B4" s="14" t="s">
        <v>4458</v>
      </c>
      <c r="C4" s="14" t="s">
        <v>4468</v>
      </c>
      <c r="D4" s="15" t="s">
        <v>43</v>
      </c>
      <c r="E4" s="13" t="s">
        <v>45</v>
      </c>
      <c r="F4" s="14" t="s">
        <v>4469</v>
      </c>
      <c r="G4" s="14" t="s">
        <v>4470</v>
      </c>
      <c r="H4" s="14" t="s">
        <v>4471</v>
      </c>
      <c r="I4" s="14"/>
      <c r="J4" s="16" t="s">
        <v>51</v>
      </c>
      <c r="K4" s="14"/>
    </row>
    <row r="5" spans="1:11" ht="97.5" customHeight="1">
      <c r="A5" s="13" t="s">
        <v>4472</v>
      </c>
      <c r="B5" s="14" t="s">
        <v>4458</v>
      </c>
      <c r="C5" s="14" t="s">
        <v>4473</v>
      </c>
      <c r="D5" s="15" t="s">
        <v>43</v>
      </c>
      <c r="E5" s="13" t="s">
        <v>46</v>
      </c>
      <c r="F5" s="14" t="s">
        <v>4474</v>
      </c>
      <c r="G5" s="14" t="s">
        <v>109</v>
      </c>
      <c r="H5" s="14" t="s">
        <v>4475</v>
      </c>
      <c r="I5" s="14"/>
      <c r="J5" s="16" t="s">
        <v>51</v>
      </c>
      <c r="K5" s="14" t="s">
        <v>4476</v>
      </c>
    </row>
    <row r="6" spans="1:11" ht="97.5" customHeight="1">
      <c r="A6" s="13" t="s">
        <v>4477</v>
      </c>
      <c r="B6" s="14" t="s">
        <v>4458</v>
      </c>
      <c r="C6" s="14" t="s">
        <v>4478</v>
      </c>
      <c r="D6" s="15" t="s">
        <v>43</v>
      </c>
      <c r="E6" s="13" t="s">
        <v>46</v>
      </c>
      <c r="F6" s="14" t="s">
        <v>4479</v>
      </c>
      <c r="G6" s="14" t="s">
        <v>4480</v>
      </c>
      <c r="H6" s="14" t="s">
        <v>4481</v>
      </c>
      <c r="I6" s="14"/>
      <c r="J6" s="16" t="s">
        <v>51</v>
      </c>
      <c r="K6" s="14" t="s">
        <v>4482</v>
      </c>
    </row>
    <row r="7" spans="1:11" ht="42" customHeight="1">
      <c r="A7" s="13" t="s">
        <v>4483</v>
      </c>
      <c r="B7" s="14" t="s">
        <v>4458</v>
      </c>
      <c r="C7" s="14" t="s">
        <v>4484</v>
      </c>
      <c r="D7" s="15" t="s">
        <v>43</v>
      </c>
      <c r="E7" s="13" t="s">
        <v>47</v>
      </c>
      <c r="F7" s="14" t="s">
        <v>4485</v>
      </c>
      <c r="G7" s="14" t="s">
        <v>109</v>
      </c>
      <c r="H7" s="14" t="s">
        <v>4486</v>
      </c>
      <c r="I7" s="14"/>
      <c r="J7" s="16" t="s">
        <v>51</v>
      </c>
      <c r="K7" s="14"/>
    </row>
    <row r="8" spans="1:11" ht="97.5" customHeight="1">
      <c r="A8" s="17" t="s">
        <v>4487</v>
      </c>
      <c r="B8" s="18" t="s">
        <v>4458</v>
      </c>
      <c r="C8" s="18" t="s">
        <v>4488</v>
      </c>
      <c r="D8" s="19" t="s">
        <v>44</v>
      </c>
      <c r="E8" s="17" t="s">
        <v>47</v>
      </c>
      <c r="F8" s="18" t="s">
        <v>4489</v>
      </c>
      <c r="G8" s="18" t="s">
        <v>4490</v>
      </c>
      <c r="H8" s="18" t="s">
        <v>4491</v>
      </c>
      <c r="I8" s="18"/>
      <c r="J8" s="16" t="s">
        <v>51</v>
      </c>
      <c r="K8" s="18" t="s">
        <v>4476</v>
      </c>
    </row>
    <row r="9" spans="1:11" ht="27.75" customHeight="1">
      <c r="A9" s="13" t="s">
        <v>1593</v>
      </c>
      <c r="B9" s="14" t="s">
        <v>4492</v>
      </c>
      <c r="C9" s="14" t="s">
        <v>4493</v>
      </c>
      <c r="D9" s="15" t="s">
        <v>43</v>
      </c>
      <c r="E9" s="13" t="s">
        <v>45</v>
      </c>
      <c r="F9" s="14" t="s">
        <v>4494</v>
      </c>
      <c r="G9" s="14" t="s">
        <v>109</v>
      </c>
      <c r="H9" s="14" t="s">
        <v>4495</v>
      </c>
      <c r="I9" s="14"/>
      <c r="J9" s="16" t="s">
        <v>51</v>
      </c>
      <c r="K9" s="14"/>
    </row>
    <row r="10" spans="1:11" ht="27.75" customHeight="1">
      <c r="A10" s="13" t="s">
        <v>1598</v>
      </c>
      <c r="B10" s="14" t="s">
        <v>4492</v>
      </c>
      <c r="C10" s="14" t="s">
        <v>4496</v>
      </c>
      <c r="D10" s="15" t="s">
        <v>43</v>
      </c>
      <c r="E10" s="13" t="s">
        <v>45</v>
      </c>
      <c r="F10" s="14" t="s">
        <v>4497</v>
      </c>
      <c r="G10" s="14" t="s">
        <v>109</v>
      </c>
      <c r="H10" s="14" t="s">
        <v>4498</v>
      </c>
      <c r="I10" s="14"/>
      <c r="J10" s="16" t="s">
        <v>51</v>
      </c>
      <c r="K10" s="14"/>
    </row>
    <row r="11" spans="1:11" ht="42" customHeight="1">
      <c r="A11" s="13" t="s">
        <v>1602</v>
      </c>
      <c r="B11" s="14" t="s">
        <v>4492</v>
      </c>
      <c r="C11" s="14" t="s">
        <v>4499</v>
      </c>
      <c r="D11" s="15" t="s">
        <v>43</v>
      </c>
      <c r="E11" s="13" t="s">
        <v>46</v>
      </c>
      <c r="F11" s="14" t="s">
        <v>4500</v>
      </c>
      <c r="G11" s="14" t="s">
        <v>109</v>
      </c>
      <c r="H11" s="14" t="s">
        <v>4501</v>
      </c>
      <c r="I11" s="14"/>
      <c r="J11" s="16" t="s">
        <v>51</v>
      </c>
      <c r="K11" s="14"/>
    </row>
    <row r="12" spans="1:11" ht="55.5" customHeight="1">
      <c r="A12" s="17" t="s">
        <v>1606</v>
      </c>
      <c r="B12" s="18" t="s">
        <v>4492</v>
      </c>
      <c r="C12" s="18" t="s">
        <v>4502</v>
      </c>
      <c r="D12" s="19" t="s">
        <v>44</v>
      </c>
      <c r="E12" s="17" t="s">
        <v>45</v>
      </c>
      <c r="F12" s="18" t="s">
        <v>4503</v>
      </c>
      <c r="G12" s="18" t="s">
        <v>4504</v>
      </c>
      <c r="H12" s="18" t="s">
        <v>4505</v>
      </c>
      <c r="I12" s="18"/>
      <c r="J12" s="16" t="s">
        <v>51</v>
      </c>
      <c r="K12" s="18" t="s">
        <v>4506</v>
      </c>
    </row>
    <row r="13" spans="1:11" ht="97.5" customHeight="1">
      <c r="A13" s="13" t="s">
        <v>4507</v>
      </c>
      <c r="B13" s="14" t="s">
        <v>4492</v>
      </c>
      <c r="C13" s="14" t="s">
        <v>4508</v>
      </c>
      <c r="D13" s="15" t="s">
        <v>43</v>
      </c>
      <c r="E13" s="13" t="s">
        <v>47</v>
      </c>
      <c r="F13" s="14" t="s">
        <v>4509</v>
      </c>
      <c r="G13" s="14" t="s">
        <v>109</v>
      </c>
      <c r="H13" s="14" t="s">
        <v>4510</v>
      </c>
      <c r="I13" s="14"/>
      <c r="J13" s="16" t="s">
        <v>51</v>
      </c>
      <c r="K13" s="14" t="s">
        <v>4476</v>
      </c>
    </row>
    <row r="14" spans="1:11" ht="27.75" customHeight="1">
      <c r="A14" s="13" t="s">
        <v>4511</v>
      </c>
      <c r="B14" s="14" t="s">
        <v>4512</v>
      </c>
      <c r="C14" s="14" t="s">
        <v>4513</v>
      </c>
      <c r="D14" s="15" t="s">
        <v>43</v>
      </c>
      <c r="E14" s="13" t="s">
        <v>45</v>
      </c>
      <c r="F14" s="14" t="s">
        <v>4514</v>
      </c>
      <c r="G14" s="14" t="s">
        <v>109</v>
      </c>
      <c r="H14" s="14" t="s">
        <v>4515</v>
      </c>
      <c r="I14" s="14"/>
      <c r="J14" s="16" t="s">
        <v>51</v>
      </c>
      <c r="K14" s="14"/>
    </row>
    <row r="15" spans="1:11" ht="55.5" customHeight="1">
      <c r="A15" s="13" t="s">
        <v>4516</v>
      </c>
      <c r="B15" s="14" t="s">
        <v>4512</v>
      </c>
      <c r="C15" s="14" t="s">
        <v>4517</v>
      </c>
      <c r="D15" s="15" t="s">
        <v>43</v>
      </c>
      <c r="E15" s="13" t="s">
        <v>45</v>
      </c>
      <c r="F15" s="14" t="s">
        <v>4518</v>
      </c>
      <c r="G15" s="14" t="s">
        <v>4519</v>
      </c>
      <c r="H15" s="14" t="s">
        <v>4520</v>
      </c>
      <c r="I15" s="14"/>
      <c r="J15" s="16" t="s">
        <v>51</v>
      </c>
      <c r="K15" s="14"/>
    </row>
    <row r="16" spans="1:11" ht="42" customHeight="1">
      <c r="A16" s="13" t="s">
        <v>4521</v>
      </c>
      <c r="B16" s="14" t="s">
        <v>4512</v>
      </c>
      <c r="C16" s="14" t="s">
        <v>4522</v>
      </c>
      <c r="D16" s="15" t="s">
        <v>43</v>
      </c>
      <c r="E16" s="13" t="s">
        <v>46</v>
      </c>
      <c r="F16" s="14" t="s">
        <v>4523</v>
      </c>
      <c r="G16" s="14" t="s">
        <v>4524</v>
      </c>
      <c r="H16" s="14" t="s">
        <v>4525</v>
      </c>
      <c r="I16" s="14"/>
      <c r="J16" s="16" t="s">
        <v>51</v>
      </c>
      <c r="K16" s="14"/>
    </row>
    <row r="17" spans="1:11" ht="55.5" customHeight="1">
      <c r="A17" s="13" t="s">
        <v>4526</v>
      </c>
      <c r="B17" s="14" t="s">
        <v>4512</v>
      </c>
      <c r="C17" s="14" t="s">
        <v>4527</v>
      </c>
      <c r="D17" s="15" t="s">
        <v>43</v>
      </c>
      <c r="E17" s="13" t="s">
        <v>45</v>
      </c>
      <c r="F17" s="14" t="s">
        <v>4528</v>
      </c>
      <c r="G17" s="14" t="s">
        <v>4529</v>
      </c>
      <c r="H17" s="14" t="s">
        <v>4530</v>
      </c>
      <c r="I17" s="14"/>
      <c r="J17" s="16" t="s">
        <v>51</v>
      </c>
      <c r="K17" s="14"/>
    </row>
    <row r="18" spans="1:11" ht="97.5" customHeight="1">
      <c r="A18" s="13" t="s">
        <v>4531</v>
      </c>
      <c r="B18" s="14" t="s">
        <v>4512</v>
      </c>
      <c r="C18" s="14" t="s">
        <v>4532</v>
      </c>
      <c r="D18" s="15" t="s">
        <v>43</v>
      </c>
      <c r="E18" s="13" t="s">
        <v>45</v>
      </c>
      <c r="F18" s="14" t="s">
        <v>4533</v>
      </c>
      <c r="G18" s="14" t="s">
        <v>109</v>
      </c>
      <c r="H18" s="14" t="s">
        <v>4534</v>
      </c>
      <c r="I18" s="14"/>
      <c r="J18" s="16" t="s">
        <v>51</v>
      </c>
      <c r="K18" s="14" t="s">
        <v>4476</v>
      </c>
    </row>
    <row r="19" spans="1:11" ht="97.5" customHeight="1">
      <c r="A19" s="13" t="s">
        <v>4535</v>
      </c>
      <c r="B19" s="14" t="s">
        <v>4512</v>
      </c>
      <c r="C19" s="14" t="s">
        <v>4536</v>
      </c>
      <c r="D19" s="15" t="s">
        <v>43</v>
      </c>
      <c r="E19" s="13" t="s">
        <v>47</v>
      </c>
      <c r="F19" s="14" t="s">
        <v>4537</v>
      </c>
      <c r="G19" s="14" t="s">
        <v>109</v>
      </c>
      <c r="H19" s="14" t="s">
        <v>4538</v>
      </c>
      <c r="I19" s="14"/>
      <c r="J19" s="16" t="s">
        <v>51</v>
      </c>
      <c r="K19" s="14" t="s">
        <v>4476</v>
      </c>
    </row>
    <row r="20" spans="1:11" ht="84" customHeight="1">
      <c r="A20" s="13" t="s">
        <v>4539</v>
      </c>
      <c r="B20" s="14" t="s">
        <v>4540</v>
      </c>
      <c r="C20" s="14" t="s">
        <v>4541</v>
      </c>
      <c r="D20" s="15" t="s">
        <v>43</v>
      </c>
      <c r="E20" s="13" t="s">
        <v>45</v>
      </c>
      <c r="F20" s="14" t="s">
        <v>4542</v>
      </c>
      <c r="G20" s="14" t="s">
        <v>109</v>
      </c>
      <c r="H20" s="14" t="s">
        <v>4543</v>
      </c>
      <c r="I20" s="14"/>
      <c r="J20" s="16" t="s">
        <v>51</v>
      </c>
      <c r="K20" s="14" t="s">
        <v>4544</v>
      </c>
    </row>
    <row r="21" spans="1:11" ht="97.5" customHeight="1">
      <c r="A21" s="17" t="s">
        <v>4545</v>
      </c>
      <c r="B21" s="18" t="s">
        <v>4540</v>
      </c>
      <c r="C21" s="18" t="s">
        <v>4546</v>
      </c>
      <c r="D21" s="19" t="s">
        <v>44</v>
      </c>
      <c r="E21" s="17" t="s">
        <v>45</v>
      </c>
      <c r="F21" s="18" t="s">
        <v>4547</v>
      </c>
      <c r="G21" s="18" t="s">
        <v>4548</v>
      </c>
      <c r="H21" s="18" t="s">
        <v>4549</v>
      </c>
      <c r="I21" s="18"/>
      <c r="J21" s="16" t="s">
        <v>51</v>
      </c>
      <c r="K21" s="18" t="s">
        <v>4476</v>
      </c>
    </row>
    <row r="22" spans="1:11" ht="97.5" customHeight="1">
      <c r="A22" s="17" t="s">
        <v>4550</v>
      </c>
      <c r="B22" s="18" t="s">
        <v>4540</v>
      </c>
      <c r="C22" s="18" t="s">
        <v>4551</v>
      </c>
      <c r="D22" s="19" t="s">
        <v>44</v>
      </c>
      <c r="E22" s="17" t="s">
        <v>46</v>
      </c>
      <c r="F22" s="18" t="s">
        <v>4552</v>
      </c>
      <c r="G22" s="18" t="s">
        <v>109</v>
      </c>
      <c r="H22" s="18" t="s">
        <v>4553</v>
      </c>
      <c r="I22" s="18"/>
      <c r="J22" s="16" t="s">
        <v>51</v>
      </c>
      <c r="K22" s="18" t="s">
        <v>4476</v>
      </c>
    </row>
    <row r="23" spans="1:11" ht="42" customHeight="1">
      <c r="A23" s="13" t="s">
        <v>4554</v>
      </c>
      <c r="B23" s="14" t="s">
        <v>4540</v>
      </c>
      <c r="C23" s="14" t="s">
        <v>4555</v>
      </c>
      <c r="D23" s="15" t="s">
        <v>43</v>
      </c>
      <c r="E23" s="13" t="s">
        <v>45</v>
      </c>
      <c r="F23" s="14" t="s">
        <v>4556</v>
      </c>
      <c r="G23" s="14" t="s">
        <v>4557</v>
      </c>
      <c r="H23" s="14" t="s">
        <v>4558</v>
      </c>
      <c r="I23" s="14"/>
      <c r="J23" s="16" t="s">
        <v>51</v>
      </c>
      <c r="K23" s="14"/>
    </row>
    <row r="24" spans="1:11" ht="97.5" customHeight="1">
      <c r="A24" s="17" t="s">
        <v>4559</v>
      </c>
      <c r="B24" s="18" t="s">
        <v>4540</v>
      </c>
      <c r="C24" s="18" t="s">
        <v>4560</v>
      </c>
      <c r="D24" s="19" t="s">
        <v>44</v>
      </c>
      <c r="E24" s="17" t="s">
        <v>45</v>
      </c>
      <c r="F24" s="18" t="s">
        <v>4561</v>
      </c>
      <c r="G24" s="18" t="s">
        <v>4562</v>
      </c>
      <c r="H24" s="18" t="s">
        <v>4563</v>
      </c>
      <c r="I24" s="18"/>
      <c r="J24" s="16" t="s">
        <v>51</v>
      </c>
      <c r="K24" s="18" t="s">
        <v>4476</v>
      </c>
    </row>
    <row r="25" spans="1:11" ht="97.5" customHeight="1">
      <c r="A25" s="17" t="s">
        <v>4564</v>
      </c>
      <c r="B25" s="18" t="s">
        <v>4540</v>
      </c>
      <c r="C25" s="18" t="s">
        <v>4565</v>
      </c>
      <c r="D25" s="19" t="s">
        <v>44</v>
      </c>
      <c r="E25" s="17" t="s">
        <v>45</v>
      </c>
      <c r="F25" s="18" t="s">
        <v>4566</v>
      </c>
      <c r="G25" s="18" t="s">
        <v>4567</v>
      </c>
      <c r="H25" s="18" t="s">
        <v>4568</v>
      </c>
      <c r="I25" s="18"/>
      <c r="J25" s="16" t="s">
        <v>51</v>
      </c>
      <c r="K25" s="18" t="s">
        <v>4476</v>
      </c>
    </row>
    <row r="26" spans="1:11" ht="97.5" customHeight="1">
      <c r="A26" s="17" t="s">
        <v>4569</v>
      </c>
      <c r="B26" s="18" t="s">
        <v>4540</v>
      </c>
      <c r="C26" s="18" t="s">
        <v>4570</v>
      </c>
      <c r="D26" s="19" t="s">
        <v>44</v>
      </c>
      <c r="E26" s="17" t="s">
        <v>45</v>
      </c>
      <c r="F26" s="18" t="s">
        <v>4571</v>
      </c>
      <c r="G26" s="18" t="s">
        <v>4572</v>
      </c>
      <c r="H26" s="18" t="s">
        <v>3280</v>
      </c>
      <c r="I26" s="18"/>
      <c r="J26" s="16" t="s">
        <v>51</v>
      </c>
      <c r="K26" s="18" t="s">
        <v>4476</v>
      </c>
    </row>
    <row r="27" spans="1:11" ht="27.75" customHeight="1">
      <c r="A27" s="13" t="s">
        <v>4573</v>
      </c>
      <c r="B27" s="14" t="s">
        <v>4540</v>
      </c>
      <c r="C27" s="14" t="s">
        <v>4574</v>
      </c>
      <c r="D27" s="15" t="s">
        <v>43</v>
      </c>
      <c r="E27" s="13" t="s">
        <v>45</v>
      </c>
      <c r="F27" s="14" t="s">
        <v>4575</v>
      </c>
      <c r="G27" s="14" t="s">
        <v>4576</v>
      </c>
      <c r="H27" s="14" t="s">
        <v>4577</v>
      </c>
      <c r="I27" s="14"/>
      <c r="J27" s="16" t="s">
        <v>51</v>
      </c>
      <c r="K27" s="14"/>
    </row>
    <row r="28" spans="1:11" ht="97.5" customHeight="1">
      <c r="A28" s="17" t="s">
        <v>4578</v>
      </c>
      <c r="B28" s="18" t="s">
        <v>4540</v>
      </c>
      <c r="C28" s="18" t="s">
        <v>4579</v>
      </c>
      <c r="D28" s="19" t="s">
        <v>44</v>
      </c>
      <c r="E28" s="17" t="s">
        <v>45</v>
      </c>
      <c r="F28" s="18" t="s">
        <v>4580</v>
      </c>
      <c r="G28" s="18" t="s">
        <v>4581</v>
      </c>
      <c r="H28" s="18" t="s">
        <v>4582</v>
      </c>
      <c r="I28" s="18"/>
      <c r="J28" s="16" t="s">
        <v>51</v>
      </c>
      <c r="K28" s="18" t="s">
        <v>4476</v>
      </c>
    </row>
    <row r="29" spans="1:11" ht="97.5" customHeight="1">
      <c r="A29" s="17" t="s">
        <v>4583</v>
      </c>
      <c r="B29" s="18" t="s">
        <v>4540</v>
      </c>
      <c r="C29" s="18" t="s">
        <v>4584</v>
      </c>
      <c r="D29" s="19" t="s">
        <v>44</v>
      </c>
      <c r="E29" s="17" t="s">
        <v>45</v>
      </c>
      <c r="F29" s="18" t="s">
        <v>4585</v>
      </c>
      <c r="G29" s="18" t="s">
        <v>4586</v>
      </c>
      <c r="H29" s="18" t="s">
        <v>4587</v>
      </c>
      <c r="I29" s="18"/>
      <c r="J29" s="16" t="s">
        <v>51</v>
      </c>
      <c r="K29" s="18" t="s">
        <v>4476</v>
      </c>
    </row>
    <row r="30" spans="1:11" ht="97.5" customHeight="1">
      <c r="A30" s="17" t="s">
        <v>4588</v>
      </c>
      <c r="B30" s="18" t="s">
        <v>4540</v>
      </c>
      <c r="C30" s="18" t="s">
        <v>4589</v>
      </c>
      <c r="D30" s="19" t="s">
        <v>44</v>
      </c>
      <c r="E30" s="17" t="s">
        <v>45</v>
      </c>
      <c r="F30" s="18" t="s">
        <v>4590</v>
      </c>
      <c r="G30" s="18" t="s">
        <v>4591</v>
      </c>
      <c r="H30" s="18" t="s">
        <v>3280</v>
      </c>
      <c r="I30" s="18"/>
      <c r="J30" s="16" t="s">
        <v>51</v>
      </c>
      <c r="K30" s="18" t="s">
        <v>4476</v>
      </c>
    </row>
    <row r="31" spans="1:11" ht="97.5" customHeight="1">
      <c r="A31" s="17" t="s">
        <v>4592</v>
      </c>
      <c r="B31" s="18" t="s">
        <v>4540</v>
      </c>
      <c r="C31" s="18" t="s">
        <v>4593</v>
      </c>
      <c r="D31" s="19" t="s">
        <v>44</v>
      </c>
      <c r="E31" s="17" t="s">
        <v>47</v>
      </c>
      <c r="F31" s="18" t="s">
        <v>4594</v>
      </c>
      <c r="G31" s="18" t="s">
        <v>4595</v>
      </c>
      <c r="H31" s="18" t="s">
        <v>4139</v>
      </c>
      <c r="I31" s="18"/>
      <c r="J31" s="16" t="s">
        <v>51</v>
      </c>
      <c r="K31" s="18" t="s">
        <v>4476</v>
      </c>
    </row>
    <row r="32" spans="1:11" ht="55.5" customHeight="1">
      <c r="A32" s="13" t="s">
        <v>4596</v>
      </c>
      <c r="B32" s="14" t="s">
        <v>4597</v>
      </c>
      <c r="C32" s="14" t="s">
        <v>4598</v>
      </c>
      <c r="D32" s="15" t="s">
        <v>43</v>
      </c>
      <c r="E32" s="13" t="s">
        <v>45</v>
      </c>
      <c r="F32" s="14" t="s">
        <v>4599</v>
      </c>
      <c r="G32" s="14" t="s">
        <v>4600</v>
      </c>
      <c r="H32" s="14" t="s">
        <v>4601</v>
      </c>
      <c r="I32" s="14"/>
      <c r="J32" s="16" t="s">
        <v>51</v>
      </c>
      <c r="K32" s="14"/>
    </row>
    <row r="33" spans="1:11" ht="97.5" customHeight="1">
      <c r="A33" s="13" t="s">
        <v>4602</v>
      </c>
      <c r="B33" s="14" t="s">
        <v>4597</v>
      </c>
      <c r="C33" s="14" t="s">
        <v>4603</v>
      </c>
      <c r="D33" s="15" t="s">
        <v>43</v>
      </c>
      <c r="E33" s="13" t="s">
        <v>46</v>
      </c>
      <c r="F33" s="14" t="s">
        <v>4604</v>
      </c>
      <c r="G33" s="14" t="s">
        <v>109</v>
      </c>
      <c r="H33" s="14" t="s">
        <v>4605</v>
      </c>
      <c r="I33" s="14"/>
      <c r="J33" s="16" t="s">
        <v>51</v>
      </c>
      <c r="K33" s="14" t="s">
        <v>4476</v>
      </c>
    </row>
    <row r="34" spans="1:11" ht="97.5" customHeight="1">
      <c r="A34" s="13" t="s">
        <v>4606</v>
      </c>
      <c r="B34" s="14" t="s">
        <v>4597</v>
      </c>
      <c r="C34" s="14" t="s">
        <v>4607</v>
      </c>
      <c r="D34" s="15" t="s">
        <v>43</v>
      </c>
      <c r="E34" s="13" t="s">
        <v>46</v>
      </c>
      <c r="F34" s="14" t="s">
        <v>4608</v>
      </c>
      <c r="G34" s="14" t="s">
        <v>4609</v>
      </c>
      <c r="H34" s="14" t="s">
        <v>4610</v>
      </c>
      <c r="I34" s="14"/>
      <c r="J34" s="16" t="s">
        <v>51</v>
      </c>
      <c r="K34" s="14" t="s">
        <v>4476</v>
      </c>
    </row>
    <row r="35" spans="1:11" ht="69.75" customHeight="1">
      <c r="A35" s="17" t="s">
        <v>4611</v>
      </c>
      <c r="B35" s="18" t="s">
        <v>4597</v>
      </c>
      <c r="C35" s="18" t="s">
        <v>4612</v>
      </c>
      <c r="D35" s="19" t="s">
        <v>44</v>
      </c>
      <c r="E35" s="17" t="s">
        <v>45</v>
      </c>
      <c r="F35" s="18" t="s">
        <v>4613</v>
      </c>
      <c r="G35" s="18" t="s">
        <v>1005</v>
      </c>
      <c r="H35" s="18" t="s">
        <v>4614</v>
      </c>
      <c r="I35" s="18"/>
      <c r="J35" s="16" t="s">
        <v>51</v>
      </c>
      <c r="K35" s="18" t="s">
        <v>4615</v>
      </c>
    </row>
    <row r="36" spans="1:11" ht="97.5" customHeight="1">
      <c r="A36" s="17" t="s">
        <v>4616</v>
      </c>
      <c r="B36" s="18" t="s">
        <v>4597</v>
      </c>
      <c r="C36" s="18" t="s">
        <v>4617</v>
      </c>
      <c r="D36" s="19" t="s">
        <v>44</v>
      </c>
      <c r="E36" s="17" t="s">
        <v>46</v>
      </c>
      <c r="F36" s="18" t="s">
        <v>4618</v>
      </c>
      <c r="G36" s="18" t="s">
        <v>4232</v>
      </c>
      <c r="H36" s="18" t="s">
        <v>4233</v>
      </c>
      <c r="I36" s="18"/>
      <c r="J36" s="16" t="s">
        <v>51</v>
      </c>
      <c r="K36" s="18" t="s">
        <v>4476</v>
      </c>
    </row>
    <row r="37" spans="1:11" ht="111.75" customHeight="1">
      <c r="A37" s="17" t="s">
        <v>4619</v>
      </c>
      <c r="B37" s="18" t="s">
        <v>4597</v>
      </c>
      <c r="C37" s="18" t="s">
        <v>4620</v>
      </c>
      <c r="D37" s="19" t="s">
        <v>44</v>
      </c>
      <c r="E37" s="17" t="s">
        <v>46</v>
      </c>
      <c r="F37" s="18" t="s">
        <v>4621</v>
      </c>
      <c r="G37" s="18" t="s">
        <v>4622</v>
      </c>
      <c r="H37" s="18" t="s">
        <v>4238</v>
      </c>
      <c r="I37" s="18"/>
      <c r="J37" s="16" t="s">
        <v>51</v>
      </c>
      <c r="K37" s="18" t="s">
        <v>4623</v>
      </c>
    </row>
    <row r="38" spans="1:11" ht="97.5" customHeight="1">
      <c r="A38" s="17" t="s">
        <v>4624</v>
      </c>
      <c r="B38" s="18" t="s">
        <v>4597</v>
      </c>
      <c r="C38" s="18" t="s">
        <v>4625</v>
      </c>
      <c r="D38" s="19" t="s">
        <v>44</v>
      </c>
      <c r="E38" s="17" t="s">
        <v>46</v>
      </c>
      <c r="F38" s="18" t="s">
        <v>4626</v>
      </c>
      <c r="G38" s="18" t="s">
        <v>4627</v>
      </c>
      <c r="H38" s="18" t="s">
        <v>4628</v>
      </c>
      <c r="I38" s="18"/>
      <c r="J38" s="16" t="s">
        <v>51</v>
      </c>
      <c r="K38" s="18" t="s">
        <v>4476</v>
      </c>
    </row>
    <row r="39" spans="1:11" ht="97.5" customHeight="1">
      <c r="A39" s="13" t="s">
        <v>4629</v>
      </c>
      <c r="B39" s="14" t="s">
        <v>4597</v>
      </c>
      <c r="C39" s="14" t="s">
        <v>4630</v>
      </c>
      <c r="D39" s="15" t="s">
        <v>43</v>
      </c>
      <c r="E39" s="13" t="s">
        <v>47</v>
      </c>
      <c r="F39" s="14" t="s">
        <v>4631</v>
      </c>
      <c r="G39" s="14" t="s">
        <v>4248</v>
      </c>
      <c r="H39" s="14" t="s">
        <v>4632</v>
      </c>
      <c r="I39" s="14"/>
      <c r="J39" s="16" t="s">
        <v>51</v>
      </c>
      <c r="K39" s="14" t="s">
        <v>4476</v>
      </c>
    </row>
    <row r="40" spans="1:11" ht="42" customHeight="1">
      <c r="A40" s="13" t="s">
        <v>4633</v>
      </c>
      <c r="B40" s="14" t="s">
        <v>4634</v>
      </c>
      <c r="C40" s="14" t="s">
        <v>4635</v>
      </c>
      <c r="D40" s="15" t="s">
        <v>43</v>
      </c>
      <c r="E40" s="13" t="s">
        <v>45</v>
      </c>
      <c r="F40" s="14" t="s">
        <v>4636</v>
      </c>
      <c r="G40" s="14" t="s">
        <v>109</v>
      </c>
      <c r="H40" s="14" t="s">
        <v>4637</v>
      </c>
      <c r="I40" s="14"/>
      <c r="J40" s="16" t="s">
        <v>51</v>
      </c>
      <c r="K40" s="14"/>
    </row>
    <row r="41" spans="1:11" ht="97.5" customHeight="1">
      <c r="A41" s="17" t="s">
        <v>4638</v>
      </c>
      <c r="B41" s="18" t="s">
        <v>4634</v>
      </c>
      <c r="C41" s="18" t="s">
        <v>4639</v>
      </c>
      <c r="D41" s="19" t="s">
        <v>44</v>
      </c>
      <c r="E41" s="17" t="s">
        <v>45</v>
      </c>
      <c r="F41" s="18" t="s">
        <v>4640</v>
      </c>
      <c r="G41" s="18" t="s">
        <v>4641</v>
      </c>
      <c r="H41" s="18" t="s">
        <v>4642</v>
      </c>
      <c r="I41" s="18"/>
      <c r="J41" s="16" t="s">
        <v>51</v>
      </c>
      <c r="K41" s="18" t="s">
        <v>4476</v>
      </c>
    </row>
    <row r="42" spans="1:11" ht="27.75" customHeight="1">
      <c r="A42" s="13" t="s">
        <v>4643</v>
      </c>
      <c r="B42" s="14" t="s">
        <v>4634</v>
      </c>
      <c r="C42" s="14" t="s">
        <v>4644</v>
      </c>
      <c r="D42" s="15" t="s">
        <v>43</v>
      </c>
      <c r="E42" s="13" t="s">
        <v>45</v>
      </c>
      <c r="F42" s="14" t="s">
        <v>4645</v>
      </c>
      <c r="G42" s="14" t="s">
        <v>109</v>
      </c>
      <c r="H42" s="14" t="s">
        <v>4646</v>
      </c>
      <c r="I42" s="14"/>
      <c r="J42" s="16" t="s">
        <v>51</v>
      </c>
      <c r="K42" s="14"/>
    </row>
    <row r="43" spans="1:11" ht="42" customHeight="1">
      <c r="A43" s="13" t="s">
        <v>4647</v>
      </c>
      <c r="B43" s="14" t="s">
        <v>4634</v>
      </c>
      <c r="C43" s="14" t="s">
        <v>4648</v>
      </c>
      <c r="D43" s="15" t="s">
        <v>43</v>
      </c>
      <c r="E43" s="13" t="s">
        <v>46</v>
      </c>
      <c r="F43" s="14" t="s">
        <v>4649</v>
      </c>
      <c r="G43" s="14" t="s">
        <v>109</v>
      </c>
      <c r="H43" s="14" t="s">
        <v>4650</v>
      </c>
      <c r="I43" s="14"/>
      <c r="J43" s="16" t="s">
        <v>51</v>
      </c>
      <c r="K43" s="14"/>
    </row>
    <row r="44" spans="1:11" ht="97.5" customHeight="1">
      <c r="A44" s="13" t="s">
        <v>4651</v>
      </c>
      <c r="B44" s="14" t="s">
        <v>4634</v>
      </c>
      <c r="C44" s="14" t="s">
        <v>4652</v>
      </c>
      <c r="D44" s="15" t="s">
        <v>43</v>
      </c>
      <c r="E44" s="13" t="s">
        <v>45</v>
      </c>
      <c r="F44" s="14" t="s">
        <v>4653</v>
      </c>
      <c r="G44" s="14" t="s">
        <v>4654</v>
      </c>
      <c r="H44" s="14" t="s">
        <v>4655</v>
      </c>
      <c r="I44" s="14"/>
      <c r="J44" s="16" t="s">
        <v>51</v>
      </c>
      <c r="K44" s="14" t="s">
        <v>4476</v>
      </c>
    </row>
    <row r="45" spans="1:11" ht="97.5" customHeight="1">
      <c r="A45" s="17" t="s">
        <v>4656</v>
      </c>
      <c r="B45" s="18" t="s">
        <v>4634</v>
      </c>
      <c r="C45" s="18" t="s">
        <v>4657</v>
      </c>
      <c r="D45" s="19" t="s">
        <v>44</v>
      </c>
      <c r="E45" s="17" t="s">
        <v>46</v>
      </c>
      <c r="F45" s="18" t="s">
        <v>4658</v>
      </c>
      <c r="G45" s="18" t="s">
        <v>4659</v>
      </c>
      <c r="H45" s="18" t="s">
        <v>4660</v>
      </c>
      <c r="I45" s="18"/>
      <c r="J45" s="16" t="s">
        <v>51</v>
      </c>
      <c r="K45" s="18" t="s">
        <v>4476</v>
      </c>
    </row>
    <row r="46" spans="1:11" ht="55.5" customHeight="1">
      <c r="A46" s="13" t="s">
        <v>4661</v>
      </c>
      <c r="B46" s="14" t="s">
        <v>4634</v>
      </c>
      <c r="C46" s="14" t="s">
        <v>4662</v>
      </c>
      <c r="D46" s="15" t="s">
        <v>43</v>
      </c>
      <c r="E46" s="13" t="s">
        <v>47</v>
      </c>
      <c r="F46" s="14" t="s">
        <v>4663</v>
      </c>
      <c r="G46" s="14" t="s">
        <v>109</v>
      </c>
      <c r="H46" s="14" t="s">
        <v>4664</v>
      </c>
      <c r="I46" s="14"/>
      <c r="J46" s="16" t="s">
        <v>51</v>
      </c>
      <c r="K46" s="14" t="s">
        <v>4665</v>
      </c>
    </row>
    <row r="47" spans="1:11" ht="97.5" customHeight="1">
      <c r="A47" s="13" t="s">
        <v>4666</v>
      </c>
      <c r="B47" s="14" t="s">
        <v>4634</v>
      </c>
      <c r="C47" s="14" t="s">
        <v>4667</v>
      </c>
      <c r="D47" s="15" t="s">
        <v>43</v>
      </c>
      <c r="E47" s="13" t="s">
        <v>47</v>
      </c>
      <c r="F47" s="14" t="s">
        <v>4668</v>
      </c>
      <c r="G47" s="14" t="s">
        <v>4669</v>
      </c>
      <c r="H47" s="14" t="s">
        <v>4670</v>
      </c>
      <c r="I47" s="14"/>
      <c r="J47" s="16" t="s">
        <v>51</v>
      </c>
      <c r="K47" s="14" t="s">
        <v>4476</v>
      </c>
    </row>
    <row r="48" spans="1:11" ht="55.5" customHeight="1">
      <c r="A48" s="13" t="s">
        <v>4405</v>
      </c>
      <c r="B48" s="14" t="s">
        <v>4406</v>
      </c>
      <c r="C48" s="14" t="s">
        <v>4671</v>
      </c>
      <c r="D48" s="15" t="s">
        <v>43</v>
      </c>
      <c r="E48" s="13" t="s">
        <v>45</v>
      </c>
      <c r="F48" s="14" t="s">
        <v>4672</v>
      </c>
      <c r="G48" s="14" t="s">
        <v>109</v>
      </c>
      <c r="H48" s="14" t="s">
        <v>4673</v>
      </c>
      <c r="I48" s="14"/>
      <c r="J48" s="16" t="s">
        <v>51</v>
      </c>
      <c r="K48" s="14"/>
    </row>
    <row r="49" spans="1:11" ht="42" customHeight="1">
      <c r="A49" s="13" t="s">
        <v>4410</v>
      </c>
      <c r="B49" s="14" t="s">
        <v>4406</v>
      </c>
      <c r="C49" s="14" t="s">
        <v>4674</v>
      </c>
      <c r="D49" s="15" t="s">
        <v>43</v>
      </c>
      <c r="E49" s="13" t="s">
        <v>45</v>
      </c>
      <c r="F49" s="14" t="s">
        <v>4675</v>
      </c>
      <c r="G49" s="14" t="s">
        <v>109</v>
      </c>
      <c r="H49" s="14" t="s">
        <v>4676</v>
      </c>
      <c r="I49" s="14"/>
      <c r="J49" s="16" t="s">
        <v>51</v>
      </c>
      <c r="K49" s="14"/>
    </row>
    <row r="50" spans="1:11" ht="55.5" customHeight="1">
      <c r="A50" s="13" t="s">
        <v>4414</v>
      </c>
      <c r="B50" s="14" t="s">
        <v>4406</v>
      </c>
      <c r="C50" s="14" t="s">
        <v>4677</v>
      </c>
      <c r="D50" s="15" t="s">
        <v>43</v>
      </c>
      <c r="E50" s="13" t="s">
        <v>46</v>
      </c>
      <c r="F50" s="14" t="s">
        <v>4678</v>
      </c>
      <c r="G50" s="14" t="s">
        <v>109</v>
      </c>
      <c r="H50" s="14" t="s">
        <v>4679</v>
      </c>
      <c r="I50" s="14"/>
      <c r="J50" s="16" t="s">
        <v>51</v>
      </c>
      <c r="K50" s="14"/>
    </row>
    <row r="51" spans="1:11" ht="27.75" customHeight="1">
      <c r="A51" s="13" t="s">
        <v>2959</v>
      </c>
      <c r="B51" s="14" t="s">
        <v>4424</v>
      </c>
      <c r="C51" s="14" t="s">
        <v>4680</v>
      </c>
      <c r="D51" s="15" t="s">
        <v>43</v>
      </c>
      <c r="E51" s="13" t="s">
        <v>45</v>
      </c>
      <c r="F51" s="14" t="s">
        <v>4681</v>
      </c>
      <c r="G51" s="14" t="s">
        <v>109</v>
      </c>
      <c r="H51" s="14" t="s">
        <v>4682</v>
      </c>
      <c r="I51" s="14"/>
      <c r="J51" s="16" t="s">
        <v>51</v>
      </c>
      <c r="K51" s="14"/>
    </row>
    <row r="52" spans="1:11" ht="27.75" customHeight="1">
      <c r="A52" s="13" t="s">
        <v>2965</v>
      </c>
      <c r="B52" s="14" t="s">
        <v>4424</v>
      </c>
      <c r="C52" s="14" t="s">
        <v>4683</v>
      </c>
      <c r="D52" s="15" t="s">
        <v>43</v>
      </c>
      <c r="E52" s="13" t="s">
        <v>45</v>
      </c>
      <c r="F52" s="14" t="s">
        <v>4684</v>
      </c>
      <c r="G52" s="14" t="s">
        <v>109</v>
      </c>
      <c r="H52" s="14" t="s">
        <v>4685</v>
      </c>
      <c r="I52" s="14"/>
      <c r="J52" s="16" t="s">
        <v>51</v>
      </c>
      <c r="K52" s="14"/>
    </row>
    <row r="53" spans="1:11" ht="55.5" customHeight="1">
      <c r="A53" s="13" t="s">
        <v>2970</v>
      </c>
      <c r="B53" s="14" t="s">
        <v>4424</v>
      </c>
      <c r="C53" s="14" t="s">
        <v>4686</v>
      </c>
      <c r="D53" s="15" t="s">
        <v>43</v>
      </c>
      <c r="E53" s="13" t="s">
        <v>45</v>
      </c>
      <c r="F53" s="14" t="s">
        <v>4687</v>
      </c>
      <c r="G53" s="14" t="s">
        <v>4688</v>
      </c>
      <c r="H53" s="14" t="s">
        <v>4689</v>
      </c>
      <c r="I53" s="14"/>
      <c r="J53" s="16" t="s">
        <v>51</v>
      </c>
      <c r="K53" s="14"/>
    </row>
    <row r="54" spans="1:11" ht="27.75" customHeight="1">
      <c r="A54" s="13" t="s">
        <v>2975</v>
      </c>
      <c r="B54" s="14" t="s">
        <v>4424</v>
      </c>
      <c r="C54" s="14" t="s">
        <v>4690</v>
      </c>
      <c r="D54" s="15" t="s">
        <v>43</v>
      </c>
      <c r="E54" s="13" t="s">
        <v>45</v>
      </c>
      <c r="F54" s="14" t="s">
        <v>4691</v>
      </c>
      <c r="G54" s="14" t="s">
        <v>109</v>
      </c>
      <c r="H54" s="14" t="s">
        <v>4692</v>
      </c>
      <c r="I54" s="14"/>
      <c r="J54" s="16" t="s">
        <v>51</v>
      </c>
      <c r="K54" s="14"/>
    </row>
    <row r="55" spans="1:11" ht="84" customHeight="1">
      <c r="A55" s="13" t="s">
        <v>2979</v>
      </c>
      <c r="B55" s="14" t="s">
        <v>4424</v>
      </c>
      <c r="C55" s="14" t="s">
        <v>4693</v>
      </c>
      <c r="D55" s="15" t="s">
        <v>43</v>
      </c>
      <c r="E55" s="13" t="s">
        <v>45</v>
      </c>
      <c r="F55" s="14" t="s">
        <v>4694</v>
      </c>
      <c r="G55" s="14" t="s">
        <v>4695</v>
      </c>
      <c r="H55" s="14" t="s">
        <v>4696</v>
      </c>
      <c r="I55" s="14"/>
      <c r="J55" s="16" t="s">
        <v>51</v>
      </c>
      <c r="K55" s="14" t="s">
        <v>4697</v>
      </c>
    </row>
  </sheetData>
  <autoFilter ref="A1:K55" xr:uid="{00000000-0009-0000-0000-000010000000}"/>
  <dataValidations count="3">
    <dataValidation type="list" allowBlank="1" sqref="D2:D55" xr:uid="{00000000-0002-0000-1000-000000000000}">
      <formula1>"Positive,Negative,Functional - Positive,Functional - Negative,Validation - Positive,Validation - Negative,Defect - Functional,Defect - Validation"</formula1>
      <formula2>0</formula2>
    </dataValidation>
    <dataValidation type="list" allowBlank="1" sqref="E2:E55" xr:uid="{00000000-0002-0000-1000-000001000000}">
      <formula1>"High,Medium,Low"</formula1>
      <formula2>0</formula2>
    </dataValidation>
    <dataValidation type="list" allowBlank="1" sqref="J2:J55" xr:uid="{00000000-0002-0000-10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58"/>
  <sheetViews>
    <sheetView zoomScaleNormal="100" workbookViewId="0">
      <selection activeCell="A2" sqref="A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12" t="s">
        <v>79</v>
      </c>
      <c r="B1" s="12" t="s">
        <v>80</v>
      </c>
      <c r="C1" s="12" t="s">
        <v>81</v>
      </c>
      <c r="D1" s="12" t="s">
        <v>82</v>
      </c>
      <c r="E1" s="12" t="s">
        <v>83</v>
      </c>
      <c r="F1" s="12" t="s">
        <v>84</v>
      </c>
      <c r="G1" s="12" t="s">
        <v>85</v>
      </c>
      <c r="H1" s="12" t="s">
        <v>86</v>
      </c>
      <c r="I1" s="12" t="s">
        <v>87</v>
      </c>
      <c r="J1" s="12" t="s">
        <v>88</v>
      </c>
      <c r="K1" s="12" t="s">
        <v>89</v>
      </c>
    </row>
    <row r="2" spans="1:11" ht="19.5" customHeight="1">
      <c r="A2" s="22" t="s">
        <v>4698</v>
      </c>
      <c r="B2" s="23"/>
      <c r="C2" s="23"/>
      <c r="D2" s="23"/>
      <c r="E2" s="23"/>
      <c r="F2" s="23"/>
      <c r="G2" s="23"/>
      <c r="H2" s="23"/>
      <c r="I2" s="23"/>
      <c r="J2" s="23"/>
      <c r="K2" s="23"/>
    </row>
    <row r="3" spans="1:11" ht="42" customHeight="1">
      <c r="A3" s="13" t="s">
        <v>4699</v>
      </c>
      <c r="B3" s="14" t="s">
        <v>4700</v>
      </c>
      <c r="C3" s="14" t="s">
        <v>4701</v>
      </c>
      <c r="D3" s="15" t="s">
        <v>28</v>
      </c>
      <c r="E3" s="13" t="s">
        <v>46</v>
      </c>
      <c r="F3" s="14" t="s">
        <v>4702</v>
      </c>
      <c r="G3" s="14" t="s">
        <v>4703</v>
      </c>
      <c r="H3" s="14" t="s">
        <v>4704</v>
      </c>
      <c r="I3" s="14"/>
      <c r="J3" s="16" t="s">
        <v>51</v>
      </c>
      <c r="K3" s="14"/>
    </row>
    <row r="4" spans="1:11" ht="69.75" customHeight="1">
      <c r="A4" s="13" t="s">
        <v>4705</v>
      </c>
      <c r="B4" s="14" t="s">
        <v>4700</v>
      </c>
      <c r="C4" s="14" t="s">
        <v>4706</v>
      </c>
      <c r="D4" s="15" t="s">
        <v>28</v>
      </c>
      <c r="E4" s="13" t="s">
        <v>45</v>
      </c>
      <c r="F4" s="14" t="s">
        <v>4707</v>
      </c>
      <c r="G4" s="14" t="s">
        <v>4708</v>
      </c>
      <c r="H4" s="14" t="s">
        <v>4709</v>
      </c>
      <c r="I4" s="14"/>
      <c r="J4" s="16" t="s">
        <v>51</v>
      </c>
      <c r="K4" s="14"/>
    </row>
    <row r="5" spans="1:11" ht="42" customHeight="1">
      <c r="A5" s="17" t="s">
        <v>4710</v>
      </c>
      <c r="B5" s="18" t="s">
        <v>4700</v>
      </c>
      <c r="C5" s="18" t="s">
        <v>4711</v>
      </c>
      <c r="D5" s="19" t="s">
        <v>31</v>
      </c>
      <c r="E5" s="17" t="s">
        <v>47</v>
      </c>
      <c r="F5" s="18" t="s">
        <v>4712</v>
      </c>
      <c r="G5" s="18" t="s">
        <v>4713</v>
      </c>
      <c r="H5" s="18" t="s">
        <v>4714</v>
      </c>
      <c r="I5" s="18"/>
      <c r="J5" s="16" t="s">
        <v>51</v>
      </c>
      <c r="K5" s="18"/>
    </row>
    <row r="6" spans="1:11" ht="69.75" customHeight="1">
      <c r="A6" s="13" t="s">
        <v>4715</v>
      </c>
      <c r="B6" s="14" t="s">
        <v>4700</v>
      </c>
      <c r="C6" s="14" t="s">
        <v>4716</v>
      </c>
      <c r="D6" s="15" t="s">
        <v>28</v>
      </c>
      <c r="E6" s="13" t="s">
        <v>45</v>
      </c>
      <c r="F6" s="14" t="s">
        <v>4717</v>
      </c>
      <c r="G6" s="14" t="s">
        <v>4718</v>
      </c>
      <c r="H6" s="14" t="s">
        <v>4719</v>
      </c>
      <c r="I6" s="14"/>
      <c r="J6" s="16" t="s">
        <v>51</v>
      </c>
      <c r="K6" s="14"/>
    </row>
    <row r="7" spans="1:11" ht="42" customHeight="1">
      <c r="A7" s="13" t="s">
        <v>4720</v>
      </c>
      <c r="B7" s="14" t="s">
        <v>4700</v>
      </c>
      <c r="C7" s="14" t="s">
        <v>4721</v>
      </c>
      <c r="D7" s="15" t="s">
        <v>30</v>
      </c>
      <c r="E7" s="13" t="s">
        <v>46</v>
      </c>
      <c r="F7" s="14" t="s">
        <v>4722</v>
      </c>
      <c r="G7" s="14" t="s">
        <v>4723</v>
      </c>
      <c r="H7" s="14" t="s">
        <v>4724</v>
      </c>
      <c r="I7" s="14"/>
      <c r="J7" s="16" t="s">
        <v>51</v>
      </c>
      <c r="K7" s="14"/>
    </row>
    <row r="8" spans="1:11" ht="42" customHeight="1">
      <c r="A8" s="13" t="s">
        <v>4725</v>
      </c>
      <c r="B8" s="14" t="s">
        <v>4700</v>
      </c>
      <c r="C8" s="14" t="s">
        <v>4726</v>
      </c>
      <c r="D8" s="15" t="s">
        <v>30</v>
      </c>
      <c r="E8" s="13" t="s">
        <v>46</v>
      </c>
      <c r="F8" s="14" t="s">
        <v>4727</v>
      </c>
      <c r="G8" s="14" t="s">
        <v>4728</v>
      </c>
      <c r="H8" s="14" t="s">
        <v>4729</v>
      </c>
      <c r="I8" s="14"/>
      <c r="J8" s="16" t="s">
        <v>51</v>
      </c>
      <c r="K8" s="14"/>
    </row>
    <row r="9" spans="1:11" ht="42" customHeight="1">
      <c r="A9" s="13" t="s">
        <v>4730</v>
      </c>
      <c r="B9" s="14" t="s">
        <v>4700</v>
      </c>
      <c r="C9" s="14" t="s">
        <v>4731</v>
      </c>
      <c r="D9" s="15" t="s">
        <v>30</v>
      </c>
      <c r="E9" s="13" t="s">
        <v>46</v>
      </c>
      <c r="F9" s="14" t="s">
        <v>4732</v>
      </c>
      <c r="G9" s="14" t="s">
        <v>4733</v>
      </c>
      <c r="H9" s="14" t="s">
        <v>4734</v>
      </c>
      <c r="I9" s="14"/>
      <c r="J9" s="16" t="s">
        <v>51</v>
      </c>
      <c r="K9" s="14"/>
    </row>
    <row r="10" spans="1:11" ht="55.5" customHeight="1">
      <c r="A10" s="13" t="s">
        <v>4735</v>
      </c>
      <c r="B10" s="14" t="s">
        <v>4700</v>
      </c>
      <c r="C10" s="14" t="s">
        <v>4736</v>
      </c>
      <c r="D10" s="15" t="s">
        <v>30</v>
      </c>
      <c r="E10" s="13" t="s">
        <v>46</v>
      </c>
      <c r="F10" s="14" t="s">
        <v>4737</v>
      </c>
      <c r="G10" s="14" t="s">
        <v>4738</v>
      </c>
      <c r="H10" s="14" t="s">
        <v>4739</v>
      </c>
      <c r="I10" s="14"/>
      <c r="J10" s="16" t="s">
        <v>51</v>
      </c>
      <c r="K10" s="14"/>
    </row>
    <row r="11" spans="1:11" ht="42" customHeight="1">
      <c r="A11" s="13" t="s">
        <v>4740</v>
      </c>
      <c r="B11" s="14" t="s">
        <v>4700</v>
      </c>
      <c r="C11" s="14" t="s">
        <v>4741</v>
      </c>
      <c r="D11" s="15" t="s">
        <v>30</v>
      </c>
      <c r="E11" s="13" t="s">
        <v>47</v>
      </c>
      <c r="F11" s="14" t="s">
        <v>4742</v>
      </c>
      <c r="G11" s="14" t="s">
        <v>4743</v>
      </c>
      <c r="H11" s="14" t="s">
        <v>4744</v>
      </c>
      <c r="I11" s="14"/>
      <c r="J11" s="16" t="s">
        <v>51</v>
      </c>
      <c r="K11" s="14"/>
    </row>
    <row r="12" spans="1:11" ht="55.5" customHeight="1">
      <c r="A12" s="13" t="s">
        <v>4745</v>
      </c>
      <c r="B12" s="14" t="s">
        <v>4700</v>
      </c>
      <c r="C12" s="14" t="s">
        <v>4746</v>
      </c>
      <c r="D12" s="15" t="s">
        <v>30</v>
      </c>
      <c r="E12" s="13" t="s">
        <v>45</v>
      </c>
      <c r="F12" s="14" t="s">
        <v>4747</v>
      </c>
      <c r="G12" s="14" t="s">
        <v>4748</v>
      </c>
      <c r="H12" s="14" t="s">
        <v>4749</v>
      </c>
      <c r="I12" s="14"/>
      <c r="J12" s="16" t="s">
        <v>51</v>
      </c>
      <c r="K12" s="14"/>
    </row>
    <row r="13" spans="1:11" ht="42" customHeight="1">
      <c r="A13" s="13" t="s">
        <v>4750</v>
      </c>
      <c r="B13" s="14" t="s">
        <v>4700</v>
      </c>
      <c r="C13" s="14" t="s">
        <v>4751</v>
      </c>
      <c r="D13" s="15" t="s">
        <v>28</v>
      </c>
      <c r="E13" s="13" t="s">
        <v>46</v>
      </c>
      <c r="F13" s="14" t="s">
        <v>4752</v>
      </c>
      <c r="G13" s="14" t="s">
        <v>4753</v>
      </c>
      <c r="H13" s="14" t="s">
        <v>4754</v>
      </c>
      <c r="I13" s="14"/>
      <c r="J13" s="16" t="s">
        <v>51</v>
      </c>
      <c r="K13" s="14"/>
    </row>
    <row r="14" spans="1:11" ht="42" customHeight="1">
      <c r="A14" s="17" t="s">
        <v>4755</v>
      </c>
      <c r="B14" s="18" t="s">
        <v>4700</v>
      </c>
      <c r="C14" s="18" t="s">
        <v>4756</v>
      </c>
      <c r="D14" s="19" t="s">
        <v>31</v>
      </c>
      <c r="E14" s="17" t="s">
        <v>47</v>
      </c>
      <c r="F14" s="18" t="s">
        <v>4757</v>
      </c>
      <c r="G14" s="18" t="s">
        <v>4758</v>
      </c>
      <c r="H14" s="18" t="s">
        <v>4759</v>
      </c>
      <c r="I14" s="18"/>
      <c r="J14" s="16" t="s">
        <v>51</v>
      </c>
      <c r="K14" s="18"/>
    </row>
    <row r="15" spans="1:11" ht="55.5" customHeight="1">
      <c r="A15" s="13" t="s">
        <v>4760</v>
      </c>
      <c r="B15" s="14" t="s">
        <v>4700</v>
      </c>
      <c r="C15" s="14" t="s">
        <v>4761</v>
      </c>
      <c r="D15" s="15" t="s">
        <v>28</v>
      </c>
      <c r="E15" s="13" t="s">
        <v>46</v>
      </c>
      <c r="F15" s="14" t="s">
        <v>4762</v>
      </c>
      <c r="G15" s="14" t="s">
        <v>4763</v>
      </c>
      <c r="H15" s="14" t="s">
        <v>4764</v>
      </c>
      <c r="I15" s="14"/>
      <c r="J15" s="16" t="s">
        <v>51</v>
      </c>
      <c r="K15" s="14"/>
    </row>
    <row r="16" spans="1:11" ht="42" customHeight="1">
      <c r="A16" s="13" t="s">
        <v>4765</v>
      </c>
      <c r="B16" s="14" t="s">
        <v>4700</v>
      </c>
      <c r="C16" s="14" t="s">
        <v>4766</v>
      </c>
      <c r="D16" s="15" t="s">
        <v>30</v>
      </c>
      <c r="E16" s="13" t="s">
        <v>47</v>
      </c>
      <c r="F16" s="14" t="s">
        <v>4767</v>
      </c>
      <c r="G16" s="14" t="s">
        <v>109</v>
      </c>
      <c r="H16" s="14" t="s">
        <v>4768</v>
      </c>
      <c r="I16" s="14"/>
      <c r="J16" s="16" t="s">
        <v>51</v>
      </c>
      <c r="K16" s="14"/>
    </row>
    <row r="17" spans="1:11" ht="19.5" customHeight="1">
      <c r="A17" s="22" t="s">
        <v>4769</v>
      </c>
      <c r="B17" s="23"/>
      <c r="C17" s="23"/>
      <c r="D17" s="23"/>
      <c r="E17" s="23"/>
      <c r="F17" s="23"/>
      <c r="G17" s="23"/>
      <c r="H17" s="23"/>
      <c r="I17" s="23"/>
      <c r="J17" s="23"/>
      <c r="K17" s="23"/>
    </row>
    <row r="18" spans="1:11" ht="42" customHeight="1">
      <c r="A18" s="13" t="s">
        <v>4770</v>
      </c>
      <c r="B18" s="14" t="s">
        <v>4771</v>
      </c>
      <c r="C18" s="14" t="s">
        <v>4772</v>
      </c>
      <c r="D18" s="15" t="s">
        <v>28</v>
      </c>
      <c r="E18" s="13" t="s">
        <v>45</v>
      </c>
      <c r="F18" s="14" t="s">
        <v>4773</v>
      </c>
      <c r="G18" s="14" t="s">
        <v>109</v>
      </c>
      <c r="H18" s="14" t="s">
        <v>4774</v>
      </c>
      <c r="I18" s="14"/>
      <c r="J18" s="16" t="s">
        <v>51</v>
      </c>
      <c r="K18" s="14"/>
    </row>
    <row r="19" spans="1:11" ht="42" customHeight="1">
      <c r="A19" s="13" t="s">
        <v>4775</v>
      </c>
      <c r="B19" s="14" t="s">
        <v>4771</v>
      </c>
      <c r="C19" s="14" t="s">
        <v>4776</v>
      </c>
      <c r="D19" s="15" t="s">
        <v>28</v>
      </c>
      <c r="E19" s="13" t="s">
        <v>46</v>
      </c>
      <c r="F19" s="14" t="s">
        <v>4777</v>
      </c>
      <c r="G19" s="14" t="s">
        <v>4778</v>
      </c>
      <c r="H19" s="14" t="s">
        <v>4779</v>
      </c>
      <c r="I19" s="14"/>
      <c r="J19" s="16" t="s">
        <v>51</v>
      </c>
      <c r="K19" s="14"/>
    </row>
    <row r="20" spans="1:11" ht="42" customHeight="1">
      <c r="A20" s="17" t="s">
        <v>4780</v>
      </c>
      <c r="B20" s="18" t="s">
        <v>4771</v>
      </c>
      <c r="C20" s="18" t="s">
        <v>4781</v>
      </c>
      <c r="D20" s="19" t="s">
        <v>31</v>
      </c>
      <c r="E20" s="17" t="s">
        <v>45</v>
      </c>
      <c r="F20" s="18" t="s">
        <v>4782</v>
      </c>
      <c r="G20" s="18" t="s">
        <v>4783</v>
      </c>
      <c r="H20" s="18" t="s">
        <v>4784</v>
      </c>
      <c r="I20" s="18"/>
      <c r="J20" s="16" t="s">
        <v>51</v>
      </c>
      <c r="K20" s="18"/>
    </row>
    <row r="21" spans="1:11" ht="27.75" customHeight="1">
      <c r="A21" s="13" t="s">
        <v>4785</v>
      </c>
      <c r="B21" s="14" t="s">
        <v>4771</v>
      </c>
      <c r="C21" s="14" t="s">
        <v>4786</v>
      </c>
      <c r="D21" s="15" t="s">
        <v>28</v>
      </c>
      <c r="E21" s="13" t="s">
        <v>46</v>
      </c>
      <c r="F21" s="14" t="s">
        <v>4787</v>
      </c>
      <c r="G21" s="14" t="s">
        <v>4788</v>
      </c>
      <c r="H21" s="14" t="s">
        <v>4201</v>
      </c>
      <c r="I21" s="14"/>
      <c r="J21" s="16" t="s">
        <v>51</v>
      </c>
      <c r="K21" s="14"/>
    </row>
    <row r="22" spans="1:11" ht="42" customHeight="1">
      <c r="A22" s="17" t="s">
        <v>4789</v>
      </c>
      <c r="B22" s="18" t="s">
        <v>4771</v>
      </c>
      <c r="C22" s="18" t="s">
        <v>4790</v>
      </c>
      <c r="D22" s="19" t="s">
        <v>31</v>
      </c>
      <c r="E22" s="17" t="s">
        <v>46</v>
      </c>
      <c r="F22" s="18" t="s">
        <v>4791</v>
      </c>
      <c r="G22" s="18" t="s">
        <v>4792</v>
      </c>
      <c r="H22" s="18" t="s">
        <v>4793</v>
      </c>
      <c r="I22" s="18"/>
      <c r="J22" s="16" t="s">
        <v>51</v>
      </c>
      <c r="K22" s="18"/>
    </row>
    <row r="23" spans="1:11" ht="27.75" customHeight="1">
      <c r="A23" s="13" t="s">
        <v>4794</v>
      </c>
      <c r="B23" s="14" t="s">
        <v>4771</v>
      </c>
      <c r="C23" s="14" t="s">
        <v>4795</v>
      </c>
      <c r="D23" s="15" t="s">
        <v>28</v>
      </c>
      <c r="E23" s="13" t="s">
        <v>46</v>
      </c>
      <c r="F23" s="14" t="s">
        <v>4796</v>
      </c>
      <c r="G23" s="14" t="s">
        <v>4797</v>
      </c>
      <c r="H23" s="14" t="s">
        <v>4201</v>
      </c>
      <c r="I23" s="14"/>
      <c r="J23" s="16" t="s">
        <v>51</v>
      </c>
      <c r="K23" s="14"/>
    </row>
    <row r="24" spans="1:11" ht="27.75" customHeight="1">
      <c r="A24" s="17" t="s">
        <v>4798</v>
      </c>
      <c r="B24" s="18" t="s">
        <v>4771</v>
      </c>
      <c r="C24" s="18" t="s">
        <v>4799</v>
      </c>
      <c r="D24" s="19" t="s">
        <v>31</v>
      </c>
      <c r="E24" s="17" t="s">
        <v>46</v>
      </c>
      <c r="F24" s="18" t="s">
        <v>4800</v>
      </c>
      <c r="G24" s="18" t="s">
        <v>4801</v>
      </c>
      <c r="H24" s="18" t="s">
        <v>4802</v>
      </c>
      <c r="I24" s="18"/>
      <c r="J24" s="16" t="s">
        <v>51</v>
      </c>
      <c r="K24" s="18"/>
    </row>
    <row r="25" spans="1:11" ht="27.75" customHeight="1">
      <c r="A25" s="13" t="s">
        <v>4803</v>
      </c>
      <c r="B25" s="14" t="s">
        <v>4771</v>
      </c>
      <c r="C25" s="14" t="s">
        <v>4804</v>
      </c>
      <c r="D25" s="15" t="s">
        <v>28</v>
      </c>
      <c r="E25" s="13" t="s">
        <v>46</v>
      </c>
      <c r="F25" s="14" t="s">
        <v>4805</v>
      </c>
      <c r="G25" s="14" t="s">
        <v>4806</v>
      </c>
      <c r="H25" s="14" t="s">
        <v>4201</v>
      </c>
      <c r="I25" s="14"/>
      <c r="J25" s="16" t="s">
        <v>51</v>
      </c>
      <c r="K25" s="14"/>
    </row>
    <row r="26" spans="1:11" ht="27.75" customHeight="1">
      <c r="A26" s="17" t="s">
        <v>4807</v>
      </c>
      <c r="B26" s="18" t="s">
        <v>4771</v>
      </c>
      <c r="C26" s="18" t="s">
        <v>4808</v>
      </c>
      <c r="D26" s="19" t="s">
        <v>31</v>
      </c>
      <c r="E26" s="17" t="s">
        <v>46</v>
      </c>
      <c r="F26" s="18" t="s">
        <v>4809</v>
      </c>
      <c r="G26" s="18" t="s">
        <v>710</v>
      </c>
      <c r="H26" s="18" t="s">
        <v>4810</v>
      </c>
      <c r="I26" s="18"/>
      <c r="J26" s="16" t="s">
        <v>51</v>
      </c>
      <c r="K26" s="18"/>
    </row>
    <row r="27" spans="1:11" ht="27.75" customHeight="1">
      <c r="A27" s="13" t="s">
        <v>4811</v>
      </c>
      <c r="B27" s="14" t="s">
        <v>4771</v>
      </c>
      <c r="C27" s="14" t="s">
        <v>4812</v>
      </c>
      <c r="D27" s="15" t="s">
        <v>28</v>
      </c>
      <c r="E27" s="13" t="s">
        <v>46</v>
      </c>
      <c r="F27" s="14" t="s">
        <v>4813</v>
      </c>
      <c r="G27" s="14" t="s">
        <v>4814</v>
      </c>
      <c r="H27" s="14" t="s">
        <v>4815</v>
      </c>
      <c r="I27" s="14"/>
      <c r="J27" s="16" t="s">
        <v>51</v>
      </c>
      <c r="K27" s="14"/>
    </row>
    <row r="28" spans="1:11" ht="42" customHeight="1">
      <c r="A28" s="17" t="s">
        <v>4816</v>
      </c>
      <c r="B28" s="18" t="s">
        <v>4771</v>
      </c>
      <c r="C28" s="18" t="s">
        <v>4817</v>
      </c>
      <c r="D28" s="19" t="s">
        <v>31</v>
      </c>
      <c r="E28" s="17" t="s">
        <v>46</v>
      </c>
      <c r="F28" s="18" t="s">
        <v>4818</v>
      </c>
      <c r="G28" s="18" t="s">
        <v>4819</v>
      </c>
      <c r="H28" s="18" t="s">
        <v>4820</v>
      </c>
      <c r="I28" s="18"/>
      <c r="J28" s="16" t="s">
        <v>51</v>
      </c>
      <c r="K28" s="18"/>
    </row>
    <row r="29" spans="1:11" ht="42" customHeight="1">
      <c r="A29" s="13" t="s">
        <v>4821</v>
      </c>
      <c r="B29" s="14" t="s">
        <v>4771</v>
      </c>
      <c r="C29" s="14" t="s">
        <v>4822</v>
      </c>
      <c r="D29" s="15" t="s">
        <v>28</v>
      </c>
      <c r="E29" s="13" t="s">
        <v>47</v>
      </c>
      <c r="F29" s="14" t="s">
        <v>4823</v>
      </c>
      <c r="G29" s="14" t="s">
        <v>109</v>
      </c>
      <c r="H29" s="14" t="s">
        <v>4824</v>
      </c>
      <c r="I29" s="14"/>
      <c r="J29" s="16" t="s">
        <v>51</v>
      </c>
      <c r="K29" s="14"/>
    </row>
    <row r="30" spans="1:11" ht="55.5" customHeight="1">
      <c r="A30" s="17" t="s">
        <v>4825</v>
      </c>
      <c r="B30" s="18" t="s">
        <v>4771</v>
      </c>
      <c r="C30" s="18" t="s">
        <v>4826</v>
      </c>
      <c r="D30" s="19" t="s">
        <v>31</v>
      </c>
      <c r="E30" s="17" t="s">
        <v>46</v>
      </c>
      <c r="F30" s="18" t="s">
        <v>4827</v>
      </c>
      <c r="G30" s="18" t="s">
        <v>4828</v>
      </c>
      <c r="H30" s="18" t="s">
        <v>4829</v>
      </c>
      <c r="I30" s="18"/>
      <c r="J30" s="16" t="s">
        <v>51</v>
      </c>
      <c r="K30" s="18" t="s">
        <v>4830</v>
      </c>
    </row>
    <row r="31" spans="1:11" ht="42" customHeight="1">
      <c r="A31" s="17" t="s">
        <v>4831</v>
      </c>
      <c r="B31" s="18" t="s">
        <v>4771</v>
      </c>
      <c r="C31" s="18" t="s">
        <v>4832</v>
      </c>
      <c r="D31" s="19" t="s">
        <v>31</v>
      </c>
      <c r="E31" s="17" t="s">
        <v>46</v>
      </c>
      <c r="F31" s="18" t="s">
        <v>4833</v>
      </c>
      <c r="G31" s="18" t="s">
        <v>4834</v>
      </c>
      <c r="H31" s="18" t="s">
        <v>156</v>
      </c>
      <c r="I31" s="18"/>
      <c r="J31" s="16" t="s">
        <v>51</v>
      </c>
      <c r="K31" s="18"/>
    </row>
    <row r="32" spans="1:11" ht="19.5" customHeight="1">
      <c r="A32" s="22" t="s">
        <v>4835</v>
      </c>
      <c r="B32" s="23"/>
      <c r="C32" s="23"/>
      <c r="D32" s="23"/>
      <c r="E32" s="23"/>
      <c r="F32" s="23"/>
      <c r="G32" s="23"/>
      <c r="H32" s="23"/>
      <c r="I32" s="23"/>
      <c r="J32" s="23"/>
      <c r="K32" s="23"/>
    </row>
    <row r="33" spans="1:11" ht="126" customHeight="1">
      <c r="A33" s="24" t="s">
        <v>4836</v>
      </c>
      <c r="B33" s="25" t="s">
        <v>4837</v>
      </c>
      <c r="C33" s="25" t="s">
        <v>4838</v>
      </c>
      <c r="D33" s="26" t="s">
        <v>38</v>
      </c>
      <c r="E33" s="24" t="s">
        <v>45</v>
      </c>
      <c r="F33" s="25" t="s">
        <v>4839</v>
      </c>
      <c r="G33" s="25" t="s">
        <v>4840</v>
      </c>
      <c r="H33" s="25" t="s">
        <v>4841</v>
      </c>
      <c r="I33" s="25"/>
      <c r="J33" s="16" t="s">
        <v>51</v>
      </c>
      <c r="K33" s="25" t="s">
        <v>4842</v>
      </c>
    </row>
    <row r="34" spans="1:11" ht="84" customHeight="1">
      <c r="A34" s="24" t="s">
        <v>4843</v>
      </c>
      <c r="B34" s="25" t="s">
        <v>4837</v>
      </c>
      <c r="C34" s="25" t="s">
        <v>4844</v>
      </c>
      <c r="D34" s="26" t="s">
        <v>39</v>
      </c>
      <c r="E34" s="24" t="s">
        <v>45</v>
      </c>
      <c r="F34" s="25" t="s">
        <v>4845</v>
      </c>
      <c r="G34" s="25" t="s">
        <v>4846</v>
      </c>
      <c r="H34" s="25" t="s">
        <v>4847</v>
      </c>
      <c r="I34" s="25"/>
      <c r="J34" s="16" t="s">
        <v>51</v>
      </c>
      <c r="K34" s="25" t="s">
        <v>4848</v>
      </c>
    </row>
    <row r="35" spans="1:11" ht="69.75" customHeight="1">
      <c r="A35" s="24" t="s">
        <v>4849</v>
      </c>
      <c r="B35" s="25" t="s">
        <v>4837</v>
      </c>
      <c r="C35" s="25" t="s">
        <v>4850</v>
      </c>
      <c r="D35" s="26" t="s">
        <v>39</v>
      </c>
      <c r="E35" s="24" t="s">
        <v>46</v>
      </c>
      <c r="F35" s="25" t="s">
        <v>4851</v>
      </c>
      <c r="G35" s="25" t="s">
        <v>109</v>
      </c>
      <c r="H35" s="25" t="s">
        <v>4852</v>
      </c>
      <c r="I35" s="25"/>
      <c r="J35" s="16" t="s">
        <v>51</v>
      </c>
      <c r="K35" s="25" t="s">
        <v>4853</v>
      </c>
    </row>
    <row r="36" spans="1:11" ht="69.75" customHeight="1">
      <c r="A36" s="24" t="s">
        <v>4854</v>
      </c>
      <c r="B36" s="25" t="s">
        <v>4837</v>
      </c>
      <c r="C36" s="25" t="s">
        <v>4855</v>
      </c>
      <c r="D36" s="26" t="s">
        <v>39</v>
      </c>
      <c r="E36" s="24" t="s">
        <v>46</v>
      </c>
      <c r="F36" s="25" t="s">
        <v>4856</v>
      </c>
      <c r="G36" s="25" t="s">
        <v>109</v>
      </c>
      <c r="H36" s="25" t="s">
        <v>4857</v>
      </c>
      <c r="I36" s="25"/>
      <c r="J36" s="16" t="s">
        <v>51</v>
      </c>
      <c r="K36" s="25" t="s">
        <v>4830</v>
      </c>
    </row>
    <row r="37" spans="1:11" ht="55.5" customHeight="1">
      <c r="A37" s="13" t="s">
        <v>1722</v>
      </c>
      <c r="B37" s="14" t="s">
        <v>612</v>
      </c>
      <c r="C37" s="14" t="s">
        <v>613</v>
      </c>
      <c r="D37" s="15" t="s">
        <v>43</v>
      </c>
      <c r="E37" s="13" t="s">
        <v>46</v>
      </c>
      <c r="F37" s="14" t="s">
        <v>614</v>
      </c>
      <c r="G37" s="14" t="s">
        <v>1723</v>
      </c>
      <c r="H37" s="14" t="s">
        <v>616</v>
      </c>
      <c r="I37" s="14"/>
      <c r="J37" s="16" t="s">
        <v>51</v>
      </c>
      <c r="K37" s="14" t="s">
        <v>1724</v>
      </c>
    </row>
    <row r="38" spans="1:11" ht="55.5" customHeight="1">
      <c r="A38" s="17" t="s">
        <v>1725</v>
      </c>
      <c r="B38" s="18" t="s">
        <v>612</v>
      </c>
      <c r="C38" s="18" t="s">
        <v>618</v>
      </c>
      <c r="D38" s="19" t="s">
        <v>44</v>
      </c>
      <c r="E38" s="17" t="s">
        <v>46</v>
      </c>
      <c r="F38" s="18" t="s">
        <v>619</v>
      </c>
      <c r="G38" s="18" t="s">
        <v>620</v>
      </c>
      <c r="H38" s="18" t="s">
        <v>621</v>
      </c>
      <c r="I38" s="18"/>
      <c r="J38" s="16" t="s">
        <v>51</v>
      </c>
      <c r="K38" s="18" t="s">
        <v>1724</v>
      </c>
    </row>
    <row r="39" spans="1:11" ht="55.5" customHeight="1">
      <c r="A39" s="17" t="s">
        <v>1726</v>
      </c>
      <c r="B39" s="18" t="s">
        <v>612</v>
      </c>
      <c r="C39" s="18" t="s">
        <v>623</v>
      </c>
      <c r="D39" s="19" t="s">
        <v>44</v>
      </c>
      <c r="E39" s="17" t="s">
        <v>46</v>
      </c>
      <c r="F39" s="18" t="s">
        <v>624</v>
      </c>
      <c r="G39" s="18" t="s">
        <v>625</v>
      </c>
      <c r="H39" s="18" t="s">
        <v>156</v>
      </c>
      <c r="I39" s="18"/>
      <c r="J39" s="16" t="s">
        <v>51</v>
      </c>
      <c r="K39" s="18" t="s">
        <v>1724</v>
      </c>
    </row>
    <row r="40" spans="1:11" ht="42" customHeight="1">
      <c r="A40" s="17" t="s">
        <v>1727</v>
      </c>
      <c r="B40" s="18" t="s">
        <v>612</v>
      </c>
      <c r="C40" s="18" t="s">
        <v>627</v>
      </c>
      <c r="D40" s="19" t="s">
        <v>44</v>
      </c>
      <c r="E40" s="17" t="s">
        <v>47</v>
      </c>
      <c r="F40" s="18" t="s">
        <v>628</v>
      </c>
      <c r="G40" s="18" t="s">
        <v>629</v>
      </c>
      <c r="H40" s="18" t="s">
        <v>630</v>
      </c>
      <c r="I40" s="18"/>
      <c r="J40" s="16" t="s">
        <v>51</v>
      </c>
      <c r="K40" s="18" t="s">
        <v>631</v>
      </c>
    </row>
    <row r="41" spans="1:11" ht="69.75" customHeight="1">
      <c r="A41" s="13" t="s">
        <v>1728</v>
      </c>
      <c r="B41" s="14" t="s">
        <v>612</v>
      </c>
      <c r="C41" s="14" t="s">
        <v>633</v>
      </c>
      <c r="D41" s="15" t="s">
        <v>43</v>
      </c>
      <c r="E41" s="13" t="s">
        <v>46</v>
      </c>
      <c r="F41" s="14" t="s">
        <v>634</v>
      </c>
      <c r="G41" s="14" t="s">
        <v>1729</v>
      </c>
      <c r="H41" s="14" t="s">
        <v>636</v>
      </c>
      <c r="I41" s="14"/>
      <c r="J41" s="16" t="s">
        <v>51</v>
      </c>
      <c r="K41" s="14" t="s">
        <v>1724</v>
      </c>
    </row>
    <row r="42" spans="1:11" ht="55.5" customHeight="1">
      <c r="A42" s="17" t="s">
        <v>1730</v>
      </c>
      <c r="B42" s="18" t="s">
        <v>612</v>
      </c>
      <c r="C42" s="18" t="s">
        <v>638</v>
      </c>
      <c r="D42" s="19" t="s">
        <v>44</v>
      </c>
      <c r="E42" s="17" t="s">
        <v>46</v>
      </c>
      <c r="F42" s="18" t="s">
        <v>639</v>
      </c>
      <c r="G42" s="18" t="s">
        <v>640</v>
      </c>
      <c r="H42" s="18" t="s">
        <v>641</v>
      </c>
      <c r="I42" s="18"/>
      <c r="J42" s="16" t="s">
        <v>51</v>
      </c>
      <c r="K42" s="18" t="s">
        <v>1724</v>
      </c>
    </row>
    <row r="43" spans="1:11" ht="55.5" customHeight="1">
      <c r="A43" s="17" t="s">
        <v>1731</v>
      </c>
      <c r="B43" s="18" t="s">
        <v>612</v>
      </c>
      <c r="C43" s="18" t="s">
        <v>643</v>
      </c>
      <c r="D43" s="19" t="s">
        <v>44</v>
      </c>
      <c r="E43" s="17" t="s">
        <v>46</v>
      </c>
      <c r="F43" s="18" t="s">
        <v>644</v>
      </c>
      <c r="G43" s="18" t="s">
        <v>645</v>
      </c>
      <c r="H43" s="18" t="s">
        <v>646</v>
      </c>
      <c r="I43" s="18"/>
      <c r="J43" s="16" t="s">
        <v>51</v>
      </c>
      <c r="K43" s="18" t="s">
        <v>631</v>
      </c>
    </row>
    <row r="44" spans="1:11" ht="55.5" customHeight="1">
      <c r="A44" s="17" t="s">
        <v>1732</v>
      </c>
      <c r="B44" s="18" t="s">
        <v>612</v>
      </c>
      <c r="C44" s="18" t="s">
        <v>648</v>
      </c>
      <c r="D44" s="19" t="s">
        <v>44</v>
      </c>
      <c r="E44" s="17" t="s">
        <v>47</v>
      </c>
      <c r="F44" s="18" t="s">
        <v>649</v>
      </c>
      <c r="G44" s="18" t="s">
        <v>650</v>
      </c>
      <c r="H44" s="18" t="s">
        <v>651</v>
      </c>
      <c r="I44" s="18"/>
      <c r="J44" s="16" t="s">
        <v>51</v>
      </c>
      <c r="K44" s="18" t="s">
        <v>631</v>
      </c>
    </row>
    <row r="45" spans="1:11" ht="69.75" customHeight="1">
      <c r="A45" s="13" t="s">
        <v>1733</v>
      </c>
      <c r="B45" s="14" t="s">
        <v>612</v>
      </c>
      <c r="C45" s="14" t="s">
        <v>653</v>
      </c>
      <c r="D45" s="15" t="s">
        <v>43</v>
      </c>
      <c r="E45" s="13" t="s">
        <v>46</v>
      </c>
      <c r="F45" s="14" t="s">
        <v>654</v>
      </c>
      <c r="G45" s="14" t="s">
        <v>1734</v>
      </c>
      <c r="H45" s="14" t="s">
        <v>656</v>
      </c>
      <c r="I45" s="14"/>
      <c r="J45" s="16" t="s">
        <v>51</v>
      </c>
      <c r="K45" s="14"/>
    </row>
    <row r="46" spans="1:11" ht="42" customHeight="1">
      <c r="A46" s="17" t="s">
        <v>1735</v>
      </c>
      <c r="B46" s="18" t="s">
        <v>612</v>
      </c>
      <c r="C46" s="18" t="s">
        <v>658</v>
      </c>
      <c r="D46" s="19" t="s">
        <v>44</v>
      </c>
      <c r="E46" s="17" t="s">
        <v>46</v>
      </c>
      <c r="F46" s="18" t="s">
        <v>659</v>
      </c>
      <c r="G46" s="18" t="s">
        <v>660</v>
      </c>
      <c r="H46" s="18" t="s">
        <v>661</v>
      </c>
      <c r="I46" s="18"/>
      <c r="J46" s="16" t="s">
        <v>51</v>
      </c>
      <c r="K46" s="18"/>
    </row>
    <row r="47" spans="1:11" ht="55.5" customHeight="1">
      <c r="A47" s="17" t="s">
        <v>1736</v>
      </c>
      <c r="B47" s="18" t="s">
        <v>612</v>
      </c>
      <c r="C47" s="18" t="s">
        <v>663</v>
      </c>
      <c r="D47" s="19" t="s">
        <v>44</v>
      </c>
      <c r="E47" s="17" t="s">
        <v>46</v>
      </c>
      <c r="F47" s="18" t="s">
        <v>1737</v>
      </c>
      <c r="G47" s="18" t="s">
        <v>1738</v>
      </c>
      <c r="H47" s="18" t="s">
        <v>666</v>
      </c>
      <c r="I47" s="18"/>
      <c r="J47" s="16" t="s">
        <v>51</v>
      </c>
      <c r="K47" s="18" t="s">
        <v>631</v>
      </c>
    </row>
    <row r="48" spans="1:11" ht="55.5" customHeight="1">
      <c r="A48" s="17" t="s">
        <v>1739</v>
      </c>
      <c r="B48" s="18" t="s">
        <v>612</v>
      </c>
      <c r="C48" s="18" t="s">
        <v>668</v>
      </c>
      <c r="D48" s="19" t="s">
        <v>44</v>
      </c>
      <c r="E48" s="17" t="s">
        <v>47</v>
      </c>
      <c r="F48" s="18" t="s">
        <v>669</v>
      </c>
      <c r="G48" s="18" t="s">
        <v>670</v>
      </c>
      <c r="H48" s="18" t="s">
        <v>651</v>
      </c>
      <c r="I48" s="18"/>
      <c r="J48" s="16" t="s">
        <v>51</v>
      </c>
      <c r="K48" s="18" t="s">
        <v>631</v>
      </c>
    </row>
    <row r="49" spans="1:11" ht="55.5" customHeight="1">
      <c r="A49" s="13" t="s">
        <v>1740</v>
      </c>
      <c r="B49" s="14" t="s">
        <v>612</v>
      </c>
      <c r="C49" s="14" t="s">
        <v>672</v>
      </c>
      <c r="D49" s="15" t="s">
        <v>43</v>
      </c>
      <c r="E49" s="13" t="s">
        <v>46</v>
      </c>
      <c r="F49" s="14" t="s">
        <v>673</v>
      </c>
      <c r="G49" s="14" t="s">
        <v>1741</v>
      </c>
      <c r="H49" s="14" t="s">
        <v>675</v>
      </c>
      <c r="I49" s="14"/>
      <c r="J49" s="16" t="s">
        <v>51</v>
      </c>
      <c r="K49" s="14"/>
    </row>
    <row r="50" spans="1:11" ht="42" customHeight="1">
      <c r="A50" s="17" t="s">
        <v>1742</v>
      </c>
      <c r="B50" s="18" t="s">
        <v>612</v>
      </c>
      <c r="C50" s="18" t="s">
        <v>677</v>
      </c>
      <c r="D50" s="19" t="s">
        <v>44</v>
      </c>
      <c r="E50" s="17" t="s">
        <v>46</v>
      </c>
      <c r="F50" s="18" t="s">
        <v>678</v>
      </c>
      <c r="G50" s="18" t="s">
        <v>679</v>
      </c>
      <c r="H50" s="18" t="s">
        <v>680</v>
      </c>
      <c r="I50" s="18"/>
      <c r="J50" s="16" t="s">
        <v>51</v>
      </c>
      <c r="K50" s="18"/>
    </row>
    <row r="51" spans="1:11" ht="42" customHeight="1">
      <c r="A51" s="17" t="s">
        <v>1743</v>
      </c>
      <c r="B51" s="18" t="s">
        <v>612</v>
      </c>
      <c r="C51" s="18" t="s">
        <v>682</v>
      </c>
      <c r="D51" s="19" t="s">
        <v>44</v>
      </c>
      <c r="E51" s="17" t="s">
        <v>46</v>
      </c>
      <c r="F51" s="18" t="s">
        <v>683</v>
      </c>
      <c r="G51" s="18" t="s">
        <v>684</v>
      </c>
      <c r="H51" s="18" t="s">
        <v>156</v>
      </c>
      <c r="I51" s="18"/>
      <c r="J51" s="16" t="s">
        <v>51</v>
      </c>
      <c r="K51" s="18"/>
    </row>
    <row r="52" spans="1:11" ht="42" customHeight="1">
      <c r="A52" s="17" t="s">
        <v>1744</v>
      </c>
      <c r="B52" s="18" t="s">
        <v>612</v>
      </c>
      <c r="C52" s="18" t="s">
        <v>686</v>
      </c>
      <c r="D52" s="19" t="s">
        <v>44</v>
      </c>
      <c r="E52" s="17" t="s">
        <v>47</v>
      </c>
      <c r="F52" s="18" t="s">
        <v>687</v>
      </c>
      <c r="G52" s="18" t="s">
        <v>688</v>
      </c>
      <c r="H52" s="18" t="s">
        <v>630</v>
      </c>
      <c r="I52" s="18"/>
      <c r="J52" s="16" t="s">
        <v>51</v>
      </c>
      <c r="K52" s="18" t="s">
        <v>631</v>
      </c>
    </row>
    <row r="53" spans="1:11" ht="55.5" customHeight="1">
      <c r="A53" s="13" t="s">
        <v>1745</v>
      </c>
      <c r="B53" s="14" t="s">
        <v>612</v>
      </c>
      <c r="C53" s="14" t="s">
        <v>690</v>
      </c>
      <c r="D53" s="15" t="s">
        <v>43</v>
      </c>
      <c r="E53" s="13" t="s">
        <v>46</v>
      </c>
      <c r="F53" s="14" t="s">
        <v>691</v>
      </c>
      <c r="G53" s="14" t="s">
        <v>1746</v>
      </c>
      <c r="H53" s="14" t="s">
        <v>693</v>
      </c>
      <c r="I53" s="14"/>
      <c r="J53" s="16" t="s">
        <v>51</v>
      </c>
      <c r="K53" s="14"/>
    </row>
    <row r="54" spans="1:11" ht="42" customHeight="1">
      <c r="A54" s="17" t="s">
        <v>1747</v>
      </c>
      <c r="B54" s="18" t="s">
        <v>612</v>
      </c>
      <c r="C54" s="18" t="s">
        <v>695</v>
      </c>
      <c r="D54" s="19" t="s">
        <v>44</v>
      </c>
      <c r="E54" s="17" t="s">
        <v>46</v>
      </c>
      <c r="F54" s="18" t="s">
        <v>696</v>
      </c>
      <c r="G54" s="18" t="s">
        <v>697</v>
      </c>
      <c r="H54" s="18" t="s">
        <v>156</v>
      </c>
      <c r="I54" s="18"/>
      <c r="J54" s="16" t="s">
        <v>51</v>
      </c>
      <c r="K54" s="18"/>
    </row>
    <row r="55" spans="1:11" ht="42" customHeight="1">
      <c r="A55" s="17" t="s">
        <v>1748</v>
      </c>
      <c r="B55" s="18" t="s">
        <v>612</v>
      </c>
      <c r="C55" s="18" t="s">
        <v>699</v>
      </c>
      <c r="D55" s="19" t="s">
        <v>44</v>
      </c>
      <c r="E55" s="17" t="s">
        <v>47</v>
      </c>
      <c r="F55" s="18" t="s">
        <v>700</v>
      </c>
      <c r="G55" s="18" t="s">
        <v>701</v>
      </c>
      <c r="H55" s="18" t="s">
        <v>630</v>
      </c>
      <c r="I55" s="18"/>
      <c r="J55" s="16" t="s">
        <v>51</v>
      </c>
      <c r="K55" s="18" t="s">
        <v>631</v>
      </c>
    </row>
    <row r="56" spans="1:11" ht="42" customHeight="1">
      <c r="A56" s="13" t="s">
        <v>1749</v>
      </c>
      <c r="B56" s="14" t="s">
        <v>612</v>
      </c>
      <c r="C56" s="14" t="s">
        <v>703</v>
      </c>
      <c r="D56" s="15" t="s">
        <v>43</v>
      </c>
      <c r="E56" s="13" t="s">
        <v>46</v>
      </c>
      <c r="F56" s="14" t="s">
        <v>704</v>
      </c>
      <c r="G56" s="14" t="s">
        <v>705</v>
      </c>
      <c r="H56" s="14" t="s">
        <v>706</v>
      </c>
      <c r="I56" s="14"/>
      <c r="J56" s="16" t="s">
        <v>51</v>
      </c>
      <c r="K56" s="14"/>
    </row>
    <row r="57" spans="1:11" ht="27.75" customHeight="1">
      <c r="A57" s="17" t="s">
        <v>1750</v>
      </c>
      <c r="B57" s="18" t="s">
        <v>612</v>
      </c>
      <c r="C57" s="18" t="s">
        <v>708</v>
      </c>
      <c r="D57" s="19" t="s">
        <v>44</v>
      </c>
      <c r="E57" s="17" t="s">
        <v>46</v>
      </c>
      <c r="F57" s="18" t="s">
        <v>709</v>
      </c>
      <c r="G57" s="18" t="s">
        <v>710</v>
      </c>
      <c r="H57" s="18" t="s">
        <v>711</v>
      </c>
      <c r="I57" s="18"/>
      <c r="J57" s="16" t="s">
        <v>51</v>
      </c>
      <c r="K57" s="18"/>
    </row>
    <row r="58" spans="1:11" ht="42" customHeight="1">
      <c r="A58" s="17" t="s">
        <v>1751</v>
      </c>
      <c r="B58" s="18" t="s">
        <v>612</v>
      </c>
      <c r="C58" s="18" t="s">
        <v>713</v>
      </c>
      <c r="D58" s="19" t="s">
        <v>44</v>
      </c>
      <c r="E58" s="17" t="s">
        <v>46</v>
      </c>
      <c r="F58" s="18" t="s">
        <v>714</v>
      </c>
      <c r="G58" s="18" t="s">
        <v>715</v>
      </c>
      <c r="H58" s="18" t="s">
        <v>156</v>
      </c>
      <c r="I58" s="18"/>
      <c r="J58" s="16" t="s">
        <v>51</v>
      </c>
      <c r="K58" s="18"/>
    </row>
    <row r="59" spans="1:11" ht="42" customHeight="1">
      <c r="A59" s="17" t="s">
        <v>1752</v>
      </c>
      <c r="B59" s="18" t="s">
        <v>612</v>
      </c>
      <c r="C59" s="18" t="s">
        <v>717</v>
      </c>
      <c r="D59" s="19" t="s">
        <v>44</v>
      </c>
      <c r="E59" s="17" t="s">
        <v>47</v>
      </c>
      <c r="F59" s="18" t="s">
        <v>718</v>
      </c>
      <c r="G59" s="18" t="s">
        <v>719</v>
      </c>
      <c r="H59" s="18" t="s">
        <v>630</v>
      </c>
      <c r="I59" s="18"/>
      <c r="J59" s="16" t="s">
        <v>51</v>
      </c>
      <c r="K59" s="18" t="s">
        <v>631</v>
      </c>
    </row>
    <row r="60" spans="1:11" ht="69.75" customHeight="1">
      <c r="A60" s="13" t="s">
        <v>1753</v>
      </c>
      <c r="B60" s="14" t="s">
        <v>612</v>
      </c>
      <c r="C60" s="14" t="s">
        <v>721</v>
      </c>
      <c r="D60" s="15" t="s">
        <v>43</v>
      </c>
      <c r="E60" s="13" t="s">
        <v>46</v>
      </c>
      <c r="F60" s="14" t="s">
        <v>722</v>
      </c>
      <c r="G60" s="14" t="s">
        <v>1754</v>
      </c>
      <c r="H60" s="14" t="s">
        <v>724</v>
      </c>
      <c r="I60" s="14"/>
      <c r="J60" s="16" t="s">
        <v>51</v>
      </c>
      <c r="K60" s="14"/>
    </row>
    <row r="61" spans="1:11" ht="27.75" customHeight="1">
      <c r="A61" s="17" t="s">
        <v>1755</v>
      </c>
      <c r="B61" s="18" t="s">
        <v>612</v>
      </c>
      <c r="C61" s="18" t="s">
        <v>726</v>
      </c>
      <c r="D61" s="19" t="s">
        <v>44</v>
      </c>
      <c r="E61" s="17" t="s">
        <v>46</v>
      </c>
      <c r="F61" s="18" t="s">
        <v>727</v>
      </c>
      <c r="G61" s="18" t="s">
        <v>728</v>
      </c>
      <c r="H61" s="18" t="s">
        <v>729</v>
      </c>
      <c r="I61" s="18"/>
      <c r="J61" s="16" t="s">
        <v>51</v>
      </c>
      <c r="K61" s="18"/>
    </row>
    <row r="62" spans="1:11" ht="55.5" customHeight="1">
      <c r="A62" s="17" t="s">
        <v>1756</v>
      </c>
      <c r="B62" s="18" t="s">
        <v>612</v>
      </c>
      <c r="C62" s="18" t="s">
        <v>731</v>
      </c>
      <c r="D62" s="19" t="s">
        <v>44</v>
      </c>
      <c r="E62" s="17" t="s">
        <v>46</v>
      </c>
      <c r="F62" s="18" t="s">
        <v>732</v>
      </c>
      <c r="G62" s="18" t="s">
        <v>733</v>
      </c>
      <c r="H62" s="18" t="s">
        <v>734</v>
      </c>
      <c r="I62" s="18"/>
      <c r="J62" s="16" t="s">
        <v>51</v>
      </c>
      <c r="K62" s="18" t="s">
        <v>631</v>
      </c>
    </row>
    <row r="63" spans="1:11" ht="55.5" customHeight="1">
      <c r="A63" s="17" t="s">
        <v>1757</v>
      </c>
      <c r="B63" s="18" t="s">
        <v>612</v>
      </c>
      <c r="C63" s="18" t="s">
        <v>736</v>
      </c>
      <c r="D63" s="19" t="s">
        <v>44</v>
      </c>
      <c r="E63" s="17" t="s">
        <v>47</v>
      </c>
      <c r="F63" s="18" t="s">
        <v>737</v>
      </c>
      <c r="G63" s="18" t="s">
        <v>738</v>
      </c>
      <c r="H63" s="18" t="s">
        <v>651</v>
      </c>
      <c r="I63" s="18"/>
      <c r="J63" s="16" t="s">
        <v>51</v>
      </c>
      <c r="K63" s="18" t="s">
        <v>631</v>
      </c>
    </row>
    <row r="64" spans="1:11" ht="42" customHeight="1">
      <c r="A64" s="13" t="s">
        <v>1758</v>
      </c>
      <c r="B64" s="14" t="s">
        <v>612</v>
      </c>
      <c r="C64" s="14" t="s">
        <v>740</v>
      </c>
      <c r="D64" s="15" t="s">
        <v>43</v>
      </c>
      <c r="E64" s="13" t="s">
        <v>46</v>
      </c>
      <c r="F64" s="14" t="s">
        <v>741</v>
      </c>
      <c r="G64" s="14" t="s">
        <v>742</v>
      </c>
      <c r="H64" s="14" t="s">
        <v>743</v>
      </c>
      <c r="I64" s="14"/>
      <c r="J64" s="16" t="s">
        <v>51</v>
      </c>
      <c r="K64" s="14"/>
    </row>
    <row r="65" spans="1:11" ht="42" customHeight="1">
      <c r="A65" s="17" t="s">
        <v>1759</v>
      </c>
      <c r="B65" s="18" t="s">
        <v>612</v>
      </c>
      <c r="C65" s="18" t="s">
        <v>745</v>
      </c>
      <c r="D65" s="19" t="s">
        <v>44</v>
      </c>
      <c r="E65" s="17" t="s">
        <v>46</v>
      </c>
      <c r="F65" s="18" t="s">
        <v>746</v>
      </c>
      <c r="G65" s="18" t="s">
        <v>747</v>
      </c>
      <c r="H65" s="18" t="s">
        <v>748</v>
      </c>
      <c r="I65" s="18"/>
      <c r="J65" s="16" t="s">
        <v>51</v>
      </c>
      <c r="K65" s="18"/>
    </row>
    <row r="66" spans="1:11" ht="42" customHeight="1">
      <c r="A66" s="13" t="s">
        <v>1760</v>
      </c>
      <c r="B66" s="14" t="s">
        <v>612</v>
      </c>
      <c r="C66" s="14" t="s">
        <v>750</v>
      </c>
      <c r="D66" s="15" t="s">
        <v>43</v>
      </c>
      <c r="E66" s="13" t="s">
        <v>47</v>
      </c>
      <c r="F66" s="14" t="s">
        <v>751</v>
      </c>
      <c r="G66" s="14" t="s">
        <v>752</v>
      </c>
      <c r="H66" s="14" t="s">
        <v>753</v>
      </c>
      <c r="I66" s="14"/>
      <c r="J66" s="16" t="s">
        <v>51</v>
      </c>
      <c r="K66" s="14" t="s">
        <v>631</v>
      </c>
    </row>
    <row r="67" spans="1:11" ht="42" customHeight="1">
      <c r="A67" s="13" t="s">
        <v>1761</v>
      </c>
      <c r="B67" s="14" t="s">
        <v>612</v>
      </c>
      <c r="C67" s="14" t="s">
        <v>755</v>
      </c>
      <c r="D67" s="15" t="s">
        <v>43</v>
      </c>
      <c r="E67" s="13" t="s">
        <v>46</v>
      </c>
      <c r="F67" s="14" t="s">
        <v>756</v>
      </c>
      <c r="G67" s="14" t="s">
        <v>1762</v>
      </c>
      <c r="H67" s="14" t="s">
        <v>758</v>
      </c>
      <c r="I67" s="14"/>
      <c r="J67" s="16" t="s">
        <v>51</v>
      </c>
      <c r="K67" s="14"/>
    </row>
    <row r="68" spans="1:11" ht="27.75" customHeight="1">
      <c r="A68" s="17" t="s">
        <v>1763</v>
      </c>
      <c r="B68" s="18" t="s">
        <v>612</v>
      </c>
      <c r="C68" s="18" t="s">
        <v>760</v>
      </c>
      <c r="D68" s="19" t="s">
        <v>44</v>
      </c>
      <c r="E68" s="17" t="s">
        <v>46</v>
      </c>
      <c r="F68" s="18" t="s">
        <v>761</v>
      </c>
      <c r="G68" s="18" t="s">
        <v>762</v>
      </c>
      <c r="H68" s="18" t="s">
        <v>763</v>
      </c>
      <c r="I68" s="18"/>
      <c r="J68" s="16" t="s">
        <v>51</v>
      </c>
      <c r="K68" s="18"/>
    </row>
    <row r="69" spans="1:11" ht="42" customHeight="1">
      <c r="A69" s="17" t="s">
        <v>1764</v>
      </c>
      <c r="B69" s="18" t="s">
        <v>612</v>
      </c>
      <c r="C69" s="18" t="s">
        <v>765</v>
      </c>
      <c r="D69" s="19" t="s">
        <v>44</v>
      </c>
      <c r="E69" s="17" t="s">
        <v>46</v>
      </c>
      <c r="F69" s="18" t="s">
        <v>766</v>
      </c>
      <c r="G69" s="18" t="s">
        <v>767</v>
      </c>
      <c r="H69" s="18" t="s">
        <v>768</v>
      </c>
      <c r="I69" s="18"/>
      <c r="J69" s="16" t="s">
        <v>51</v>
      </c>
      <c r="K69" s="18"/>
    </row>
    <row r="70" spans="1:11" ht="69.75" customHeight="1">
      <c r="A70" s="13" t="s">
        <v>1765</v>
      </c>
      <c r="B70" s="14" t="s">
        <v>612</v>
      </c>
      <c r="C70" s="14" t="s">
        <v>770</v>
      </c>
      <c r="D70" s="15" t="s">
        <v>43</v>
      </c>
      <c r="E70" s="13" t="s">
        <v>46</v>
      </c>
      <c r="F70" s="14" t="s">
        <v>771</v>
      </c>
      <c r="G70" s="14" t="s">
        <v>1766</v>
      </c>
      <c r="H70" s="14" t="s">
        <v>773</v>
      </c>
      <c r="I70" s="14"/>
      <c r="J70" s="16" t="s">
        <v>51</v>
      </c>
      <c r="K70" s="14"/>
    </row>
    <row r="71" spans="1:11" ht="42" customHeight="1">
      <c r="A71" s="17" t="s">
        <v>1767</v>
      </c>
      <c r="B71" s="18" t="s">
        <v>612</v>
      </c>
      <c r="C71" s="18" t="s">
        <v>775</v>
      </c>
      <c r="D71" s="19" t="s">
        <v>44</v>
      </c>
      <c r="E71" s="17" t="s">
        <v>46</v>
      </c>
      <c r="F71" s="18" t="s">
        <v>776</v>
      </c>
      <c r="G71" s="18" t="s">
        <v>777</v>
      </c>
      <c r="H71" s="18" t="s">
        <v>778</v>
      </c>
      <c r="I71" s="18"/>
      <c r="J71" s="16" t="s">
        <v>51</v>
      </c>
      <c r="K71" s="18"/>
    </row>
    <row r="72" spans="1:11" ht="55.5" customHeight="1">
      <c r="A72" s="17" t="s">
        <v>1768</v>
      </c>
      <c r="B72" s="18" t="s">
        <v>612</v>
      </c>
      <c r="C72" s="18" t="s">
        <v>780</v>
      </c>
      <c r="D72" s="19" t="s">
        <v>44</v>
      </c>
      <c r="E72" s="17" t="s">
        <v>46</v>
      </c>
      <c r="F72" s="18" t="s">
        <v>781</v>
      </c>
      <c r="G72" s="18" t="s">
        <v>782</v>
      </c>
      <c r="H72" s="18" t="s">
        <v>783</v>
      </c>
      <c r="I72" s="18"/>
      <c r="J72" s="16" t="s">
        <v>51</v>
      </c>
      <c r="K72" s="18" t="s">
        <v>631</v>
      </c>
    </row>
    <row r="73" spans="1:11" ht="55.5" customHeight="1">
      <c r="A73" s="17" t="s">
        <v>1769</v>
      </c>
      <c r="B73" s="18" t="s">
        <v>612</v>
      </c>
      <c r="C73" s="18" t="s">
        <v>785</v>
      </c>
      <c r="D73" s="19" t="s">
        <v>44</v>
      </c>
      <c r="E73" s="17" t="s">
        <v>47</v>
      </c>
      <c r="F73" s="18" t="s">
        <v>786</v>
      </c>
      <c r="G73" s="18" t="s">
        <v>787</v>
      </c>
      <c r="H73" s="18" t="s">
        <v>651</v>
      </c>
      <c r="I73" s="18"/>
      <c r="J73" s="16" t="s">
        <v>51</v>
      </c>
      <c r="K73" s="18" t="s">
        <v>631</v>
      </c>
    </row>
    <row r="74" spans="1:11" ht="55.5" customHeight="1">
      <c r="A74" s="13" t="s">
        <v>1770</v>
      </c>
      <c r="B74" s="14" t="s">
        <v>612</v>
      </c>
      <c r="C74" s="14" t="s">
        <v>789</v>
      </c>
      <c r="D74" s="15" t="s">
        <v>43</v>
      </c>
      <c r="E74" s="13" t="s">
        <v>46</v>
      </c>
      <c r="F74" s="14" t="s">
        <v>790</v>
      </c>
      <c r="G74" s="14" t="s">
        <v>1771</v>
      </c>
      <c r="H74" s="14" t="s">
        <v>758</v>
      </c>
      <c r="I74" s="14"/>
      <c r="J74" s="16" t="s">
        <v>51</v>
      </c>
      <c r="K74" s="14"/>
    </row>
    <row r="75" spans="1:11" ht="27.75" customHeight="1">
      <c r="A75" s="17" t="s">
        <v>1772</v>
      </c>
      <c r="B75" s="18" t="s">
        <v>612</v>
      </c>
      <c r="C75" s="18" t="s">
        <v>793</v>
      </c>
      <c r="D75" s="19" t="s">
        <v>44</v>
      </c>
      <c r="E75" s="17" t="s">
        <v>46</v>
      </c>
      <c r="F75" s="18" t="s">
        <v>794</v>
      </c>
      <c r="G75" s="18" t="s">
        <v>795</v>
      </c>
      <c r="H75" s="18" t="s">
        <v>796</v>
      </c>
      <c r="I75" s="18"/>
      <c r="J75" s="16" t="s">
        <v>51</v>
      </c>
      <c r="K75" s="18"/>
    </row>
    <row r="76" spans="1:11" ht="42" customHeight="1">
      <c r="A76" s="17" t="s">
        <v>1773</v>
      </c>
      <c r="B76" s="18" t="s">
        <v>612</v>
      </c>
      <c r="C76" s="18" t="s">
        <v>798</v>
      </c>
      <c r="D76" s="19" t="s">
        <v>44</v>
      </c>
      <c r="E76" s="17" t="s">
        <v>46</v>
      </c>
      <c r="F76" s="18" t="s">
        <v>1774</v>
      </c>
      <c r="G76" s="18" t="s">
        <v>1775</v>
      </c>
      <c r="H76" s="18" t="s">
        <v>801</v>
      </c>
      <c r="I76" s="18"/>
      <c r="J76" s="16" t="s">
        <v>51</v>
      </c>
      <c r="K76" s="18"/>
    </row>
    <row r="77" spans="1:11" ht="42" customHeight="1">
      <c r="A77" s="13" t="s">
        <v>1776</v>
      </c>
      <c r="B77" s="14" t="s">
        <v>612</v>
      </c>
      <c r="C77" s="14" t="s">
        <v>803</v>
      </c>
      <c r="D77" s="15" t="s">
        <v>43</v>
      </c>
      <c r="E77" s="13" t="s">
        <v>46</v>
      </c>
      <c r="F77" s="14" t="s">
        <v>804</v>
      </c>
      <c r="G77" s="14" t="s">
        <v>805</v>
      </c>
      <c r="H77" s="14" t="s">
        <v>743</v>
      </c>
      <c r="I77" s="14"/>
      <c r="J77" s="16" t="s">
        <v>51</v>
      </c>
      <c r="K77" s="14"/>
    </row>
    <row r="78" spans="1:11" ht="42" customHeight="1">
      <c r="A78" s="17" t="s">
        <v>1777</v>
      </c>
      <c r="B78" s="18" t="s">
        <v>612</v>
      </c>
      <c r="C78" s="18" t="s">
        <v>807</v>
      </c>
      <c r="D78" s="19" t="s">
        <v>44</v>
      </c>
      <c r="E78" s="17" t="s">
        <v>46</v>
      </c>
      <c r="F78" s="18" t="s">
        <v>808</v>
      </c>
      <c r="G78" s="18" t="s">
        <v>809</v>
      </c>
      <c r="H78" s="18" t="s">
        <v>810</v>
      </c>
      <c r="I78" s="18"/>
      <c r="J78" s="16" t="s">
        <v>51</v>
      </c>
      <c r="K78" s="18"/>
    </row>
    <row r="79" spans="1:11" ht="42" customHeight="1">
      <c r="A79" s="13" t="s">
        <v>1778</v>
      </c>
      <c r="B79" s="14" t="s">
        <v>612</v>
      </c>
      <c r="C79" s="14" t="s">
        <v>812</v>
      </c>
      <c r="D79" s="15" t="s">
        <v>43</v>
      </c>
      <c r="E79" s="13" t="s">
        <v>47</v>
      </c>
      <c r="F79" s="14" t="s">
        <v>813</v>
      </c>
      <c r="G79" s="14" t="s">
        <v>814</v>
      </c>
      <c r="H79" s="14" t="s">
        <v>753</v>
      </c>
      <c r="I79" s="14"/>
      <c r="J79" s="16" t="s">
        <v>51</v>
      </c>
      <c r="K79" s="14" t="s">
        <v>631</v>
      </c>
    </row>
    <row r="80" spans="1:11" ht="55.5" customHeight="1">
      <c r="A80" s="13" t="s">
        <v>1779</v>
      </c>
      <c r="B80" s="14" t="s">
        <v>612</v>
      </c>
      <c r="C80" s="14" t="s">
        <v>816</v>
      </c>
      <c r="D80" s="15" t="s">
        <v>43</v>
      </c>
      <c r="E80" s="13" t="s">
        <v>46</v>
      </c>
      <c r="F80" s="14" t="s">
        <v>817</v>
      </c>
      <c r="G80" s="14" t="s">
        <v>1780</v>
      </c>
      <c r="H80" s="14" t="s">
        <v>819</v>
      </c>
      <c r="I80" s="14"/>
      <c r="J80" s="16" t="s">
        <v>51</v>
      </c>
      <c r="K80" s="14"/>
    </row>
    <row r="81" spans="1:11" ht="27.75" customHeight="1">
      <c r="A81" s="17" t="s">
        <v>1781</v>
      </c>
      <c r="B81" s="18" t="s">
        <v>612</v>
      </c>
      <c r="C81" s="18" t="s">
        <v>821</v>
      </c>
      <c r="D81" s="19" t="s">
        <v>44</v>
      </c>
      <c r="E81" s="17" t="s">
        <v>46</v>
      </c>
      <c r="F81" s="18" t="s">
        <v>822</v>
      </c>
      <c r="G81" s="18" t="s">
        <v>823</v>
      </c>
      <c r="H81" s="18" t="s">
        <v>824</v>
      </c>
      <c r="I81" s="18"/>
      <c r="J81" s="16" t="s">
        <v>51</v>
      </c>
      <c r="K81" s="18"/>
    </row>
    <row r="82" spans="1:11" ht="42" customHeight="1">
      <c r="A82" s="17" t="s">
        <v>1782</v>
      </c>
      <c r="B82" s="18" t="s">
        <v>612</v>
      </c>
      <c r="C82" s="18" t="s">
        <v>826</v>
      </c>
      <c r="D82" s="19" t="s">
        <v>44</v>
      </c>
      <c r="E82" s="17" t="s">
        <v>46</v>
      </c>
      <c r="F82" s="18" t="s">
        <v>827</v>
      </c>
      <c r="G82" s="18" t="s">
        <v>828</v>
      </c>
      <c r="H82" s="18" t="s">
        <v>829</v>
      </c>
      <c r="I82" s="18"/>
      <c r="J82" s="16" t="s">
        <v>51</v>
      </c>
      <c r="K82" s="18" t="s">
        <v>631</v>
      </c>
    </row>
    <row r="83" spans="1:11" ht="42" customHeight="1">
      <c r="A83" s="17" t="s">
        <v>1783</v>
      </c>
      <c r="B83" s="18" t="s">
        <v>612</v>
      </c>
      <c r="C83" s="18" t="s">
        <v>831</v>
      </c>
      <c r="D83" s="19" t="s">
        <v>44</v>
      </c>
      <c r="E83" s="17" t="s">
        <v>46</v>
      </c>
      <c r="F83" s="18" t="s">
        <v>832</v>
      </c>
      <c r="G83" s="18" t="s">
        <v>833</v>
      </c>
      <c r="H83" s="18" t="s">
        <v>834</v>
      </c>
      <c r="I83" s="18"/>
      <c r="J83" s="16" t="s">
        <v>51</v>
      </c>
      <c r="K83" s="18"/>
    </row>
    <row r="84" spans="1:11" ht="55.5" customHeight="1">
      <c r="A84" s="13" t="s">
        <v>1784</v>
      </c>
      <c r="B84" s="14" t="s">
        <v>612</v>
      </c>
      <c r="C84" s="14" t="s">
        <v>836</v>
      </c>
      <c r="D84" s="15" t="s">
        <v>43</v>
      </c>
      <c r="E84" s="13" t="s">
        <v>46</v>
      </c>
      <c r="F84" s="14" t="s">
        <v>837</v>
      </c>
      <c r="G84" s="14" t="s">
        <v>1785</v>
      </c>
      <c r="H84" s="14" t="s">
        <v>839</v>
      </c>
      <c r="I84" s="14"/>
      <c r="J84" s="16" t="s">
        <v>51</v>
      </c>
      <c r="K84" s="14"/>
    </row>
    <row r="85" spans="1:11" ht="42" customHeight="1">
      <c r="A85" s="17" t="s">
        <v>1786</v>
      </c>
      <c r="B85" s="18" t="s">
        <v>612</v>
      </c>
      <c r="C85" s="18" t="s">
        <v>841</v>
      </c>
      <c r="D85" s="19" t="s">
        <v>44</v>
      </c>
      <c r="E85" s="17" t="s">
        <v>46</v>
      </c>
      <c r="F85" s="18" t="s">
        <v>842</v>
      </c>
      <c r="G85" s="18" t="s">
        <v>843</v>
      </c>
      <c r="H85" s="18" t="s">
        <v>844</v>
      </c>
      <c r="I85" s="18"/>
      <c r="J85" s="16" t="s">
        <v>51</v>
      </c>
      <c r="K85" s="18"/>
    </row>
    <row r="86" spans="1:11" ht="42" customHeight="1">
      <c r="A86" s="17" t="s">
        <v>1787</v>
      </c>
      <c r="B86" s="18" t="s">
        <v>612</v>
      </c>
      <c r="C86" s="18" t="s">
        <v>846</v>
      </c>
      <c r="D86" s="19" t="s">
        <v>44</v>
      </c>
      <c r="E86" s="17" t="s">
        <v>46</v>
      </c>
      <c r="F86" s="18" t="s">
        <v>847</v>
      </c>
      <c r="G86" s="18" t="s">
        <v>848</v>
      </c>
      <c r="H86" s="18" t="s">
        <v>156</v>
      </c>
      <c r="I86" s="18"/>
      <c r="J86" s="16" t="s">
        <v>51</v>
      </c>
      <c r="K86" s="18"/>
    </row>
    <row r="87" spans="1:11" ht="42" customHeight="1">
      <c r="A87" s="17" t="s">
        <v>1788</v>
      </c>
      <c r="B87" s="18" t="s">
        <v>612</v>
      </c>
      <c r="C87" s="18" t="s">
        <v>850</v>
      </c>
      <c r="D87" s="19" t="s">
        <v>44</v>
      </c>
      <c r="E87" s="17" t="s">
        <v>47</v>
      </c>
      <c r="F87" s="18" t="s">
        <v>851</v>
      </c>
      <c r="G87" s="18" t="s">
        <v>852</v>
      </c>
      <c r="H87" s="18" t="s">
        <v>630</v>
      </c>
      <c r="I87" s="18"/>
      <c r="J87" s="16" t="s">
        <v>51</v>
      </c>
      <c r="K87" s="18" t="s">
        <v>631</v>
      </c>
    </row>
    <row r="88" spans="1:11" ht="55.5" customHeight="1">
      <c r="A88" s="13" t="s">
        <v>1789</v>
      </c>
      <c r="B88" s="14" t="s">
        <v>612</v>
      </c>
      <c r="C88" s="14" t="s">
        <v>854</v>
      </c>
      <c r="D88" s="15" t="s">
        <v>43</v>
      </c>
      <c r="E88" s="13" t="s">
        <v>46</v>
      </c>
      <c r="F88" s="14" t="s">
        <v>855</v>
      </c>
      <c r="G88" s="14" t="s">
        <v>856</v>
      </c>
      <c r="H88" s="14" t="s">
        <v>857</v>
      </c>
      <c r="I88" s="14"/>
      <c r="J88" s="16" t="s">
        <v>51</v>
      </c>
      <c r="K88" s="14"/>
    </row>
    <row r="89" spans="1:11" ht="42" customHeight="1">
      <c r="A89" s="17" t="s">
        <v>1790</v>
      </c>
      <c r="B89" s="18" t="s">
        <v>612</v>
      </c>
      <c r="C89" s="18" t="s">
        <v>859</v>
      </c>
      <c r="D89" s="19" t="s">
        <v>44</v>
      </c>
      <c r="E89" s="17" t="s">
        <v>46</v>
      </c>
      <c r="F89" s="18" t="s">
        <v>860</v>
      </c>
      <c r="G89" s="18" t="s">
        <v>861</v>
      </c>
      <c r="H89" s="18" t="s">
        <v>862</v>
      </c>
      <c r="I89" s="18"/>
      <c r="J89" s="16" t="s">
        <v>51</v>
      </c>
      <c r="K89" s="18"/>
    </row>
    <row r="90" spans="1:11" ht="42" customHeight="1">
      <c r="A90" s="17" t="s">
        <v>1791</v>
      </c>
      <c r="B90" s="18" t="s">
        <v>612</v>
      </c>
      <c r="C90" s="18" t="s">
        <v>864</v>
      </c>
      <c r="D90" s="19" t="s">
        <v>44</v>
      </c>
      <c r="E90" s="17" t="s">
        <v>46</v>
      </c>
      <c r="F90" s="18" t="s">
        <v>865</v>
      </c>
      <c r="G90" s="18" t="s">
        <v>866</v>
      </c>
      <c r="H90" s="18" t="s">
        <v>867</v>
      </c>
      <c r="I90" s="18"/>
      <c r="J90" s="16" t="s">
        <v>51</v>
      </c>
      <c r="K90" s="18" t="s">
        <v>631</v>
      </c>
    </row>
    <row r="91" spans="1:11" ht="69.75" customHeight="1">
      <c r="A91" s="17" t="s">
        <v>1792</v>
      </c>
      <c r="B91" s="18" t="s">
        <v>612</v>
      </c>
      <c r="C91" s="18" t="s">
        <v>869</v>
      </c>
      <c r="D91" s="19" t="s">
        <v>44</v>
      </c>
      <c r="E91" s="17" t="s">
        <v>47</v>
      </c>
      <c r="F91" s="18" t="s">
        <v>870</v>
      </c>
      <c r="G91" s="18" t="s">
        <v>871</v>
      </c>
      <c r="H91" s="18" t="s">
        <v>872</v>
      </c>
      <c r="I91" s="18"/>
      <c r="J91" s="16" t="s">
        <v>51</v>
      </c>
      <c r="K91" s="18" t="s">
        <v>631</v>
      </c>
    </row>
    <row r="92" spans="1:11" ht="69.75" customHeight="1">
      <c r="A92" s="17" t="s">
        <v>1793</v>
      </c>
      <c r="B92" s="18" t="s">
        <v>612</v>
      </c>
      <c r="C92" s="18" t="s">
        <v>874</v>
      </c>
      <c r="D92" s="19" t="s">
        <v>44</v>
      </c>
      <c r="E92" s="17" t="s">
        <v>47</v>
      </c>
      <c r="F92" s="18" t="s">
        <v>875</v>
      </c>
      <c r="G92" s="18" t="s">
        <v>876</v>
      </c>
      <c r="H92" s="18" t="s">
        <v>877</v>
      </c>
      <c r="I92" s="18"/>
      <c r="J92" s="16" t="s">
        <v>51</v>
      </c>
      <c r="K92" s="18" t="s">
        <v>631</v>
      </c>
    </row>
    <row r="93" spans="1:11" ht="55.5" customHeight="1">
      <c r="A93" s="13" t="s">
        <v>1794</v>
      </c>
      <c r="B93" s="14" t="s">
        <v>612</v>
      </c>
      <c r="C93" s="14" t="s">
        <v>879</v>
      </c>
      <c r="D93" s="15" t="s">
        <v>43</v>
      </c>
      <c r="E93" s="13" t="s">
        <v>46</v>
      </c>
      <c r="F93" s="14" t="s">
        <v>880</v>
      </c>
      <c r="G93" s="14" t="s">
        <v>881</v>
      </c>
      <c r="H93" s="14" t="s">
        <v>857</v>
      </c>
      <c r="I93" s="14"/>
      <c r="J93" s="16" t="s">
        <v>51</v>
      </c>
      <c r="K93" s="14"/>
    </row>
    <row r="94" spans="1:11" ht="42" customHeight="1">
      <c r="A94" s="17" t="s">
        <v>1795</v>
      </c>
      <c r="B94" s="18" t="s">
        <v>612</v>
      </c>
      <c r="C94" s="18" t="s">
        <v>883</v>
      </c>
      <c r="D94" s="19" t="s">
        <v>44</v>
      </c>
      <c r="E94" s="17" t="s">
        <v>46</v>
      </c>
      <c r="F94" s="18" t="s">
        <v>884</v>
      </c>
      <c r="G94" s="18" t="s">
        <v>885</v>
      </c>
      <c r="H94" s="18" t="s">
        <v>886</v>
      </c>
      <c r="I94" s="18"/>
      <c r="J94" s="16" t="s">
        <v>51</v>
      </c>
      <c r="K94" s="18"/>
    </row>
    <row r="95" spans="1:11" ht="42" customHeight="1">
      <c r="A95" s="17" t="s">
        <v>1796</v>
      </c>
      <c r="B95" s="18" t="s">
        <v>612</v>
      </c>
      <c r="C95" s="18" t="s">
        <v>888</v>
      </c>
      <c r="D95" s="19" t="s">
        <v>44</v>
      </c>
      <c r="E95" s="17" t="s">
        <v>46</v>
      </c>
      <c r="F95" s="18" t="s">
        <v>889</v>
      </c>
      <c r="G95" s="18" t="s">
        <v>890</v>
      </c>
      <c r="H95" s="18" t="s">
        <v>867</v>
      </c>
      <c r="I95" s="18"/>
      <c r="J95" s="16" t="s">
        <v>51</v>
      </c>
      <c r="K95" s="18" t="s">
        <v>631</v>
      </c>
    </row>
    <row r="96" spans="1:11" ht="69.75" customHeight="1">
      <c r="A96" s="17" t="s">
        <v>1797</v>
      </c>
      <c r="B96" s="18" t="s">
        <v>612</v>
      </c>
      <c r="C96" s="18" t="s">
        <v>892</v>
      </c>
      <c r="D96" s="19" t="s">
        <v>44</v>
      </c>
      <c r="E96" s="17" t="s">
        <v>47</v>
      </c>
      <c r="F96" s="18" t="s">
        <v>893</v>
      </c>
      <c r="G96" s="18" t="s">
        <v>894</v>
      </c>
      <c r="H96" s="18" t="s">
        <v>872</v>
      </c>
      <c r="I96" s="18"/>
      <c r="J96" s="16" t="s">
        <v>51</v>
      </c>
      <c r="K96" s="18" t="s">
        <v>631</v>
      </c>
    </row>
    <row r="97" spans="1:11" ht="84" customHeight="1">
      <c r="A97" s="17" t="s">
        <v>1798</v>
      </c>
      <c r="B97" s="18" t="s">
        <v>612</v>
      </c>
      <c r="C97" s="18" t="s">
        <v>896</v>
      </c>
      <c r="D97" s="19" t="s">
        <v>44</v>
      </c>
      <c r="E97" s="17" t="s">
        <v>47</v>
      </c>
      <c r="F97" s="18" t="s">
        <v>897</v>
      </c>
      <c r="G97" s="18" t="s">
        <v>898</v>
      </c>
      <c r="H97" s="18" t="s">
        <v>877</v>
      </c>
      <c r="I97" s="18"/>
      <c r="J97" s="16" t="s">
        <v>51</v>
      </c>
      <c r="K97" s="18" t="s">
        <v>631</v>
      </c>
    </row>
    <row r="98" spans="1:11" ht="55.5" customHeight="1">
      <c r="A98" s="13" t="s">
        <v>1799</v>
      </c>
      <c r="B98" s="14" t="s">
        <v>612</v>
      </c>
      <c r="C98" s="14" t="s">
        <v>900</v>
      </c>
      <c r="D98" s="15" t="s">
        <v>43</v>
      </c>
      <c r="E98" s="13" t="s">
        <v>46</v>
      </c>
      <c r="F98" s="14" t="s">
        <v>901</v>
      </c>
      <c r="G98" s="14" t="s">
        <v>902</v>
      </c>
      <c r="H98" s="14" t="s">
        <v>857</v>
      </c>
      <c r="I98" s="14"/>
      <c r="J98" s="16" t="s">
        <v>51</v>
      </c>
      <c r="K98" s="14"/>
    </row>
    <row r="99" spans="1:11" ht="42" customHeight="1">
      <c r="A99" s="17" t="s">
        <v>1800</v>
      </c>
      <c r="B99" s="18" t="s">
        <v>612</v>
      </c>
      <c r="C99" s="18" t="s">
        <v>904</v>
      </c>
      <c r="D99" s="19" t="s">
        <v>44</v>
      </c>
      <c r="E99" s="17" t="s">
        <v>46</v>
      </c>
      <c r="F99" s="18" t="s">
        <v>905</v>
      </c>
      <c r="G99" s="18" t="s">
        <v>906</v>
      </c>
      <c r="H99" s="18" t="s">
        <v>907</v>
      </c>
      <c r="I99" s="18"/>
      <c r="J99" s="16" t="s">
        <v>51</v>
      </c>
      <c r="K99" s="18"/>
    </row>
    <row r="100" spans="1:11" ht="42" customHeight="1">
      <c r="A100" s="17" t="s">
        <v>1801</v>
      </c>
      <c r="B100" s="18" t="s">
        <v>612</v>
      </c>
      <c r="C100" s="18" t="s">
        <v>909</v>
      </c>
      <c r="D100" s="19" t="s">
        <v>44</v>
      </c>
      <c r="E100" s="17" t="s">
        <v>46</v>
      </c>
      <c r="F100" s="18" t="s">
        <v>910</v>
      </c>
      <c r="G100" s="18" t="s">
        <v>911</v>
      </c>
      <c r="H100" s="18" t="s">
        <v>867</v>
      </c>
      <c r="I100" s="18"/>
      <c r="J100" s="16" t="s">
        <v>51</v>
      </c>
      <c r="K100" s="18" t="s">
        <v>631</v>
      </c>
    </row>
    <row r="101" spans="1:11" ht="69.75" customHeight="1">
      <c r="A101" s="17" t="s">
        <v>1802</v>
      </c>
      <c r="B101" s="18" t="s">
        <v>612</v>
      </c>
      <c r="C101" s="18" t="s">
        <v>913</v>
      </c>
      <c r="D101" s="19" t="s">
        <v>44</v>
      </c>
      <c r="E101" s="17" t="s">
        <v>47</v>
      </c>
      <c r="F101" s="18" t="s">
        <v>914</v>
      </c>
      <c r="G101" s="18" t="s">
        <v>915</v>
      </c>
      <c r="H101" s="18" t="s">
        <v>872</v>
      </c>
      <c r="I101" s="18"/>
      <c r="J101" s="16" t="s">
        <v>51</v>
      </c>
      <c r="K101" s="18" t="s">
        <v>631</v>
      </c>
    </row>
    <row r="102" spans="1:11" ht="84" customHeight="1">
      <c r="A102" s="17" t="s">
        <v>1803</v>
      </c>
      <c r="B102" s="18" t="s">
        <v>612</v>
      </c>
      <c r="C102" s="18" t="s">
        <v>917</v>
      </c>
      <c r="D102" s="19" t="s">
        <v>44</v>
      </c>
      <c r="E102" s="17" t="s">
        <v>47</v>
      </c>
      <c r="F102" s="18" t="s">
        <v>918</v>
      </c>
      <c r="G102" s="18" t="s">
        <v>919</v>
      </c>
      <c r="H102" s="18" t="s">
        <v>877</v>
      </c>
      <c r="I102" s="18"/>
      <c r="J102" s="16" t="s">
        <v>51</v>
      </c>
      <c r="K102" s="18" t="s">
        <v>631</v>
      </c>
    </row>
    <row r="103" spans="1:11" ht="55.5" customHeight="1">
      <c r="A103" s="13" t="s">
        <v>1804</v>
      </c>
      <c r="B103" s="14" t="s">
        <v>612</v>
      </c>
      <c r="C103" s="14" t="s">
        <v>921</v>
      </c>
      <c r="D103" s="15" t="s">
        <v>43</v>
      </c>
      <c r="E103" s="13" t="s">
        <v>46</v>
      </c>
      <c r="F103" s="14" t="s">
        <v>922</v>
      </c>
      <c r="G103" s="14" t="s">
        <v>923</v>
      </c>
      <c r="H103" s="14" t="s">
        <v>857</v>
      </c>
      <c r="I103" s="14"/>
      <c r="J103" s="16" t="s">
        <v>51</v>
      </c>
      <c r="K103" s="14"/>
    </row>
    <row r="104" spans="1:11" ht="42" customHeight="1">
      <c r="A104" s="17" t="s">
        <v>1805</v>
      </c>
      <c r="B104" s="18" t="s">
        <v>612</v>
      </c>
      <c r="C104" s="18" t="s">
        <v>925</v>
      </c>
      <c r="D104" s="19" t="s">
        <v>44</v>
      </c>
      <c r="E104" s="17" t="s">
        <v>46</v>
      </c>
      <c r="F104" s="18" t="s">
        <v>926</v>
      </c>
      <c r="G104" s="18" t="s">
        <v>927</v>
      </c>
      <c r="H104" s="18" t="s">
        <v>928</v>
      </c>
      <c r="I104" s="18"/>
      <c r="J104" s="16" t="s">
        <v>51</v>
      </c>
      <c r="K104" s="18"/>
    </row>
    <row r="105" spans="1:11" ht="42" customHeight="1">
      <c r="A105" s="17" t="s">
        <v>1806</v>
      </c>
      <c r="B105" s="18" t="s">
        <v>612</v>
      </c>
      <c r="C105" s="18" t="s">
        <v>930</v>
      </c>
      <c r="D105" s="19" t="s">
        <v>44</v>
      </c>
      <c r="E105" s="17" t="s">
        <v>46</v>
      </c>
      <c r="F105" s="18" t="s">
        <v>931</v>
      </c>
      <c r="G105" s="18" t="s">
        <v>932</v>
      </c>
      <c r="H105" s="18" t="s">
        <v>867</v>
      </c>
      <c r="I105" s="18"/>
      <c r="J105" s="16" t="s">
        <v>51</v>
      </c>
      <c r="K105" s="18" t="s">
        <v>631</v>
      </c>
    </row>
    <row r="106" spans="1:11" ht="69.75" customHeight="1">
      <c r="A106" s="17" t="s">
        <v>1807</v>
      </c>
      <c r="B106" s="18" t="s">
        <v>612</v>
      </c>
      <c r="C106" s="18" t="s">
        <v>934</v>
      </c>
      <c r="D106" s="19" t="s">
        <v>44</v>
      </c>
      <c r="E106" s="17" t="s">
        <v>47</v>
      </c>
      <c r="F106" s="18" t="s">
        <v>935</v>
      </c>
      <c r="G106" s="18" t="s">
        <v>936</v>
      </c>
      <c r="H106" s="18" t="s">
        <v>872</v>
      </c>
      <c r="I106" s="18"/>
      <c r="J106" s="16" t="s">
        <v>51</v>
      </c>
      <c r="K106" s="18" t="s">
        <v>631</v>
      </c>
    </row>
    <row r="107" spans="1:11" ht="69.75" customHeight="1">
      <c r="A107" s="17" t="s">
        <v>1808</v>
      </c>
      <c r="B107" s="18" t="s">
        <v>612</v>
      </c>
      <c r="C107" s="18" t="s">
        <v>938</v>
      </c>
      <c r="D107" s="19" t="s">
        <v>44</v>
      </c>
      <c r="E107" s="17" t="s">
        <v>47</v>
      </c>
      <c r="F107" s="18" t="s">
        <v>939</v>
      </c>
      <c r="G107" s="18" t="s">
        <v>940</v>
      </c>
      <c r="H107" s="18" t="s">
        <v>877</v>
      </c>
      <c r="I107" s="18"/>
      <c r="J107" s="16" t="s">
        <v>51</v>
      </c>
      <c r="K107" s="18" t="s">
        <v>631</v>
      </c>
    </row>
    <row r="108" spans="1:11" ht="55.5" customHeight="1">
      <c r="A108" s="13" t="s">
        <v>1809</v>
      </c>
      <c r="B108" s="14" t="s">
        <v>612</v>
      </c>
      <c r="C108" s="14" t="s">
        <v>942</v>
      </c>
      <c r="D108" s="15" t="s">
        <v>43</v>
      </c>
      <c r="E108" s="13" t="s">
        <v>46</v>
      </c>
      <c r="F108" s="14" t="s">
        <v>943</v>
      </c>
      <c r="G108" s="14" t="s">
        <v>944</v>
      </c>
      <c r="H108" s="14" t="s">
        <v>857</v>
      </c>
      <c r="I108" s="14"/>
      <c r="J108" s="16" t="s">
        <v>51</v>
      </c>
      <c r="K108" s="14"/>
    </row>
    <row r="109" spans="1:11" ht="42" customHeight="1">
      <c r="A109" s="17" t="s">
        <v>1810</v>
      </c>
      <c r="B109" s="18" t="s">
        <v>612</v>
      </c>
      <c r="C109" s="18" t="s">
        <v>946</v>
      </c>
      <c r="D109" s="19" t="s">
        <v>44</v>
      </c>
      <c r="E109" s="17" t="s">
        <v>46</v>
      </c>
      <c r="F109" s="18" t="s">
        <v>947</v>
      </c>
      <c r="G109" s="18" t="s">
        <v>948</v>
      </c>
      <c r="H109" s="18" t="s">
        <v>949</v>
      </c>
      <c r="I109" s="18"/>
      <c r="J109" s="16" t="s">
        <v>51</v>
      </c>
      <c r="K109" s="18"/>
    </row>
    <row r="110" spans="1:11" ht="42" customHeight="1">
      <c r="A110" s="17" t="s">
        <v>1811</v>
      </c>
      <c r="B110" s="18" t="s">
        <v>612</v>
      </c>
      <c r="C110" s="18" t="s">
        <v>951</v>
      </c>
      <c r="D110" s="19" t="s">
        <v>44</v>
      </c>
      <c r="E110" s="17" t="s">
        <v>46</v>
      </c>
      <c r="F110" s="18" t="s">
        <v>952</v>
      </c>
      <c r="G110" s="18" t="s">
        <v>953</v>
      </c>
      <c r="H110" s="18" t="s">
        <v>867</v>
      </c>
      <c r="I110" s="18"/>
      <c r="J110" s="16" t="s">
        <v>51</v>
      </c>
      <c r="K110" s="18" t="s">
        <v>631</v>
      </c>
    </row>
    <row r="111" spans="1:11" ht="69.75" customHeight="1">
      <c r="A111" s="17" t="s">
        <v>1812</v>
      </c>
      <c r="B111" s="18" t="s">
        <v>612</v>
      </c>
      <c r="C111" s="18" t="s">
        <v>955</v>
      </c>
      <c r="D111" s="19" t="s">
        <v>44</v>
      </c>
      <c r="E111" s="17" t="s">
        <v>47</v>
      </c>
      <c r="F111" s="18" t="s">
        <v>956</v>
      </c>
      <c r="G111" s="18" t="s">
        <v>957</v>
      </c>
      <c r="H111" s="18" t="s">
        <v>872</v>
      </c>
      <c r="I111" s="18"/>
      <c r="J111" s="16" t="s">
        <v>51</v>
      </c>
      <c r="K111" s="18" t="s">
        <v>631</v>
      </c>
    </row>
    <row r="112" spans="1:11" ht="84" customHeight="1">
      <c r="A112" s="17" t="s">
        <v>1813</v>
      </c>
      <c r="B112" s="18" t="s">
        <v>612</v>
      </c>
      <c r="C112" s="18" t="s">
        <v>959</v>
      </c>
      <c r="D112" s="19" t="s">
        <v>44</v>
      </c>
      <c r="E112" s="17" t="s">
        <v>47</v>
      </c>
      <c r="F112" s="18" t="s">
        <v>960</v>
      </c>
      <c r="G112" s="18" t="s">
        <v>961</v>
      </c>
      <c r="H112" s="18" t="s">
        <v>877</v>
      </c>
      <c r="I112" s="18"/>
      <c r="J112" s="16" t="s">
        <v>51</v>
      </c>
      <c r="K112" s="18" t="s">
        <v>631</v>
      </c>
    </row>
    <row r="113" spans="1:11" ht="69.75" customHeight="1">
      <c r="A113" s="13" t="s">
        <v>1814</v>
      </c>
      <c r="B113" s="14" t="s">
        <v>612</v>
      </c>
      <c r="C113" s="14" t="s">
        <v>1815</v>
      </c>
      <c r="D113" s="15" t="s">
        <v>43</v>
      </c>
      <c r="E113" s="13" t="s">
        <v>45</v>
      </c>
      <c r="F113" s="14" t="s">
        <v>1816</v>
      </c>
      <c r="G113" s="14" t="s">
        <v>1817</v>
      </c>
      <c r="H113" s="14" t="s">
        <v>1818</v>
      </c>
      <c r="I113" s="14"/>
      <c r="J113" s="16" t="s">
        <v>51</v>
      </c>
      <c r="K113" s="14" t="s">
        <v>1819</v>
      </c>
    </row>
    <row r="114" spans="1:11" ht="69.75" customHeight="1">
      <c r="A114" s="13" t="s">
        <v>1820</v>
      </c>
      <c r="B114" s="14" t="s">
        <v>612</v>
      </c>
      <c r="C114" s="14" t="s">
        <v>963</v>
      </c>
      <c r="D114" s="15" t="s">
        <v>43</v>
      </c>
      <c r="E114" s="13" t="s">
        <v>45</v>
      </c>
      <c r="F114" s="14" t="s">
        <v>964</v>
      </c>
      <c r="G114" s="14" t="s">
        <v>1821</v>
      </c>
      <c r="H114" s="14" t="s">
        <v>966</v>
      </c>
      <c r="I114" s="14"/>
      <c r="J114" s="16" t="s">
        <v>51</v>
      </c>
      <c r="K114" s="14" t="s">
        <v>1724</v>
      </c>
    </row>
    <row r="115" spans="1:11" ht="27.75" customHeight="1">
      <c r="A115" s="17" t="s">
        <v>1822</v>
      </c>
      <c r="B115" s="18" t="s">
        <v>612</v>
      </c>
      <c r="C115" s="18" t="s">
        <v>968</v>
      </c>
      <c r="D115" s="19" t="s">
        <v>44</v>
      </c>
      <c r="E115" s="17" t="s">
        <v>45</v>
      </c>
      <c r="F115" s="18" t="s">
        <v>969</v>
      </c>
      <c r="G115" s="18" t="s">
        <v>970</v>
      </c>
      <c r="H115" s="18" t="s">
        <v>971</v>
      </c>
      <c r="I115" s="18"/>
      <c r="J115" s="16" t="s">
        <v>51</v>
      </c>
      <c r="K115" s="18"/>
    </row>
    <row r="116" spans="1:11" ht="55.5" customHeight="1">
      <c r="A116" s="17" t="s">
        <v>1823</v>
      </c>
      <c r="B116" s="18" t="s">
        <v>612</v>
      </c>
      <c r="C116" s="18" t="s">
        <v>973</v>
      </c>
      <c r="D116" s="19" t="s">
        <v>44</v>
      </c>
      <c r="E116" s="17" t="s">
        <v>45</v>
      </c>
      <c r="F116" s="18" t="s">
        <v>974</v>
      </c>
      <c r="G116" s="18" t="s">
        <v>975</v>
      </c>
      <c r="H116" s="18" t="s">
        <v>976</v>
      </c>
      <c r="I116" s="18"/>
      <c r="J116" s="16" t="s">
        <v>51</v>
      </c>
      <c r="K116" s="18"/>
    </row>
    <row r="117" spans="1:11" ht="42" customHeight="1">
      <c r="A117" s="17" t="s">
        <v>1824</v>
      </c>
      <c r="B117" s="18" t="s">
        <v>612</v>
      </c>
      <c r="C117" s="18" t="s">
        <v>978</v>
      </c>
      <c r="D117" s="19" t="s">
        <v>44</v>
      </c>
      <c r="E117" s="17" t="s">
        <v>46</v>
      </c>
      <c r="F117" s="18" t="s">
        <v>979</v>
      </c>
      <c r="G117" s="18" t="s">
        <v>980</v>
      </c>
      <c r="H117" s="18" t="s">
        <v>981</v>
      </c>
      <c r="I117" s="18"/>
      <c r="J117" s="16" t="s">
        <v>51</v>
      </c>
      <c r="K117" s="18"/>
    </row>
    <row r="118" spans="1:11" ht="27.75" customHeight="1">
      <c r="A118" s="17" t="s">
        <v>1825</v>
      </c>
      <c r="B118" s="18" t="s">
        <v>612</v>
      </c>
      <c r="C118" s="18" t="s">
        <v>983</v>
      </c>
      <c r="D118" s="19" t="s">
        <v>44</v>
      </c>
      <c r="E118" s="17" t="s">
        <v>46</v>
      </c>
      <c r="F118" s="18" t="s">
        <v>984</v>
      </c>
      <c r="G118" s="18" t="s">
        <v>1826</v>
      </c>
      <c r="H118" s="18" t="s">
        <v>986</v>
      </c>
      <c r="I118" s="18"/>
      <c r="J118" s="16" t="s">
        <v>51</v>
      </c>
      <c r="K118" s="18"/>
    </row>
    <row r="119" spans="1:11" ht="42" customHeight="1">
      <c r="A119" s="17" t="s">
        <v>1827</v>
      </c>
      <c r="B119" s="18" t="s">
        <v>612</v>
      </c>
      <c r="C119" s="18" t="s">
        <v>988</v>
      </c>
      <c r="D119" s="19" t="s">
        <v>44</v>
      </c>
      <c r="E119" s="17" t="s">
        <v>46</v>
      </c>
      <c r="F119" s="18" t="s">
        <v>989</v>
      </c>
      <c r="G119" s="18" t="s">
        <v>1828</v>
      </c>
      <c r="H119" s="18" t="s">
        <v>991</v>
      </c>
      <c r="I119" s="18"/>
      <c r="J119" s="16" t="s">
        <v>51</v>
      </c>
      <c r="K119" s="18"/>
    </row>
    <row r="120" spans="1:11" ht="84" customHeight="1">
      <c r="A120" s="13" t="s">
        <v>1829</v>
      </c>
      <c r="B120" s="14" t="s">
        <v>993</v>
      </c>
      <c r="C120" s="14" t="s">
        <v>994</v>
      </c>
      <c r="D120" s="15" t="s">
        <v>43</v>
      </c>
      <c r="E120" s="13" t="s">
        <v>45</v>
      </c>
      <c r="F120" s="14" t="s">
        <v>995</v>
      </c>
      <c r="G120" s="14" t="s">
        <v>1830</v>
      </c>
      <c r="H120" s="14" t="s">
        <v>966</v>
      </c>
      <c r="I120" s="14"/>
      <c r="J120" s="16" t="s">
        <v>51</v>
      </c>
      <c r="K120" s="14" t="s">
        <v>1724</v>
      </c>
    </row>
    <row r="121" spans="1:11" ht="27.75" customHeight="1">
      <c r="A121" s="17" t="s">
        <v>1831</v>
      </c>
      <c r="B121" s="18" t="s">
        <v>993</v>
      </c>
      <c r="C121" s="18" t="s">
        <v>998</v>
      </c>
      <c r="D121" s="19" t="s">
        <v>44</v>
      </c>
      <c r="E121" s="17" t="s">
        <v>45</v>
      </c>
      <c r="F121" s="18" t="s">
        <v>999</v>
      </c>
      <c r="G121" s="18" t="s">
        <v>1000</v>
      </c>
      <c r="H121" s="18" t="s">
        <v>1001</v>
      </c>
      <c r="I121" s="18"/>
      <c r="J121" s="16" t="s">
        <v>51</v>
      </c>
      <c r="K121" s="18"/>
    </row>
    <row r="122" spans="1:11" ht="55.5" customHeight="1">
      <c r="A122" s="17" t="s">
        <v>1832</v>
      </c>
      <c r="B122" s="18" t="s">
        <v>993</v>
      </c>
      <c r="C122" s="18" t="s">
        <v>1003</v>
      </c>
      <c r="D122" s="19" t="s">
        <v>44</v>
      </c>
      <c r="E122" s="17" t="s">
        <v>45</v>
      </c>
      <c r="F122" s="18" t="s">
        <v>1004</v>
      </c>
      <c r="G122" s="18" t="s">
        <v>1005</v>
      </c>
      <c r="H122" s="18" t="s">
        <v>976</v>
      </c>
      <c r="I122" s="18"/>
      <c r="J122" s="16" t="s">
        <v>51</v>
      </c>
      <c r="K122" s="18"/>
    </row>
    <row r="123" spans="1:11" ht="55.5" customHeight="1">
      <c r="A123" s="17" t="s">
        <v>1833</v>
      </c>
      <c r="B123" s="18" t="s">
        <v>993</v>
      </c>
      <c r="C123" s="18" t="s">
        <v>1007</v>
      </c>
      <c r="D123" s="19" t="s">
        <v>44</v>
      </c>
      <c r="E123" s="17" t="s">
        <v>46</v>
      </c>
      <c r="F123" s="18" t="s">
        <v>1008</v>
      </c>
      <c r="G123" s="18" t="s">
        <v>980</v>
      </c>
      <c r="H123" s="18" t="s">
        <v>1009</v>
      </c>
      <c r="I123" s="18"/>
      <c r="J123" s="16" t="s">
        <v>51</v>
      </c>
      <c r="K123" s="18"/>
    </row>
    <row r="124" spans="1:11" ht="42" customHeight="1">
      <c r="A124" s="17" t="s">
        <v>1834</v>
      </c>
      <c r="B124" s="18" t="s">
        <v>993</v>
      </c>
      <c r="C124" s="18" t="s">
        <v>1011</v>
      </c>
      <c r="D124" s="19" t="s">
        <v>44</v>
      </c>
      <c r="E124" s="17" t="s">
        <v>46</v>
      </c>
      <c r="F124" s="18" t="s">
        <v>1012</v>
      </c>
      <c r="G124" s="18" t="s">
        <v>1835</v>
      </c>
      <c r="H124" s="18" t="s">
        <v>986</v>
      </c>
      <c r="I124" s="18"/>
      <c r="J124" s="16" t="s">
        <v>51</v>
      </c>
      <c r="K124" s="18"/>
    </row>
    <row r="125" spans="1:11" ht="42" customHeight="1">
      <c r="A125" s="17" t="s">
        <v>1836</v>
      </c>
      <c r="B125" s="18" t="s">
        <v>993</v>
      </c>
      <c r="C125" s="18" t="s">
        <v>1015</v>
      </c>
      <c r="D125" s="19" t="s">
        <v>44</v>
      </c>
      <c r="E125" s="17" t="s">
        <v>46</v>
      </c>
      <c r="F125" s="18" t="s">
        <v>1016</v>
      </c>
      <c r="G125" s="18" t="s">
        <v>1837</v>
      </c>
      <c r="H125" s="18" t="s">
        <v>991</v>
      </c>
      <c r="I125" s="18"/>
      <c r="J125" s="16" t="s">
        <v>51</v>
      </c>
      <c r="K125" s="18"/>
    </row>
    <row r="126" spans="1:11" ht="42" customHeight="1">
      <c r="A126" s="13" t="s">
        <v>1838</v>
      </c>
      <c r="B126" s="14" t="s">
        <v>993</v>
      </c>
      <c r="C126" s="14" t="s">
        <v>1019</v>
      </c>
      <c r="D126" s="15" t="s">
        <v>43</v>
      </c>
      <c r="E126" s="13" t="s">
        <v>45</v>
      </c>
      <c r="F126" s="14" t="s">
        <v>1020</v>
      </c>
      <c r="G126" s="14" t="s">
        <v>1021</v>
      </c>
      <c r="H126" s="14" t="s">
        <v>1022</v>
      </c>
      <c r="I126" s="14"/>
      <c r="J126" s="16" t="s">
        <v>51</v>
      </c>
      <c r="K126" s="14"/>
    </row>
    <row r="127" spans="1:11" ht="69.75" customHeight="1">
      <c r="A127" s="17" t="s">
        <v>1839</v>
      </c>
      <c r="B127" s="18" t="s">
        <v>993</v>
      </c>
      <c r="C127" s="18" t="s">
        <v>1024</v>
      </c>
      <c r="D127" s="19" t="s">
        <v>44</v>
      </c>
      <c r="E127" s="17" t="s">
        <v>45</v>
      </c>
      <c r="F127" s="18" t="s">
        <v>1025</v>
      </c>
      <c r="G127" s="18" t="s">
        <v>1026</v>
      </c>
      <c r="H127" s="18" t="s">
        <v>1840</v>
      </c>
      <c r="I127" s="18"/>
      <c r="J127" s="16" t="s">
        <v>51</v>
      </c>
      <c r="K127" s="18" t="s">
        <v>1841</v>
      </c>
    </row>
    <row r="128" spans="1:11" ht="42" customHeight="1">
      <c r="A128" s="17" t="s">
        <v>1842</v>
      </c>
      <c r="B128" s="18" t="s">
        <v>993</v>
      </c>
      <c r="C128" s="18" t="s">
        <v>1030</v>
      </c>
      <c r="D128" s="19" t="s">
        <v>44</v>
      </c>
      <c r="E128" s="17" t="s">
        <v>45</v>
      </c>
      <c r="F128" s="18" t="s">
        <v>1031</v>
      </c>
      <c r="G128" s="18" t="s">
        <v>1032</v>
      </c>
      <c r="H128" s="18" t="s">
        <v>1033</v>
      </c>
      <c r="I128" s="18"/>
      <c r="J128" s="16" t="s">
        <v>51</v>
      </c>
      <c r="K128" s="18"/>
    </row>
    <row r="129" spans="1:11" ht="84" customHeight="1">
      <c r="A129" s="13" t="s">
        <v>1843</v>
      </c>
      <c r="B129" s="14" t="s">
        <v>1035</v>
      </c>
      <c r="C129" s="14" t="s">
        <v>1036</v>
      </c>
      <c r="D129" s="15" t="s">
        <v>43</v>
      </c>
      <c r="E129" s="13" t="s">
        <v>45</v>
      </c>
      <c r="F129" s="14" t="s">
        <v>1037</v>
      </c>
      <c r="G129" s="14" t="s">
        <v>1844</v>
      </c>
      <c r="H129" s="14" t="s">
        <v>966</v>
      </c>
      <c r="I129" s="14"/>
      <c r="J129" s="16" t="s">
        <v>51</v>
      </c>
      <c r="K129" s="14" t="s">
        <v>1845</v>
      </c>
    </row>
    <row r="130" spans="1:11" ht="42" customHeight="1">
      <c r="A130" s="17" t="s">
        <v>1846</v>
      </c>
      <c r="B130" s="18" t="s">
        <v>1035</v>
      </c>
      <c r="C130" s="18" t="s">
        <v>1040</v>
      </c>
      <c r="D130" s="19" t="s">
        <v>44</v>
      </c>
      <c r="E130" s="17" t="s">
        <v>45</v>
      </c>
      <c r="F130" s="18" t="s">
        <v>1041</v>
      </c>
      <c r="G130" s="18" t="s">
        <v>1042</v>
      </c>
      <c r="H130" s="18" t="s">
        <v>1043</v>
      </c>
      <c r="I130" s="18"/>
      <c r="J130" s="16" t="s">
        <v>51</v>
      </c>
      <c r="K130" s="18"/>
    </row>
    <row r="131" spans="1:11" ht="55.5" customHeight="1">
      <c r="A131" s="17" t="s">
        <v>1847</v>
      </c>
      <c r="B131" s="18" t="s">
        <v>1035</v>
      </c>
      <c r="C131" s="18" t="s">
        <v>1045</v>
      </c>
      <c r="D131" s="19" t="s">
        <v>44</v>
      </c>
      <c r="E131" s="17" t="s">
        <v>45</v>
      </c>
      <c r="F131" s="18" t="s">
        <v>1046</v>
      </c>
      <c r="G131" s="18" t="s">
        <v>1005</v>
      </c>
      <c r="H131" s="18" t="s">
        <v>976</v>
      </c>
      <c r="I131" s="18"/>
      <c r="J131" s="16" t="s">
        <v>51</v>
      </c>
      <c r="K131" s="18"/>
    </row>
    <row r="132" spans="1:11" ht="55.5" customHeight="1">
      <c r="A132" s="17" t="s">
        <v>1848</v>
      </c>
      <c r="B132" s="18" t="s">
        <v>1035</v>
      </c>
      <c r="C132" s="18" t="s">
        <v>1048</v>
      </c>
      <c r="D132" s="19" t="s">
        <v>44</v>
      </c>
      <c r="E132" s="17" t="s">
        <v>46</v>
      </c>
      <c r="F132" s="18" t="s">
        <v>1049</v>
      </c>
      <c r="G132" s="18" t="s">
        <v>980</v>
      </c>
      <c r="H132" s="18" t="s">
        <v>1009</v>
      </c>
      <c r="I132" s="18"/>
      <c r="J132" s="16" t="s">
        <v>51</v>
      </c>
      <c r="K132" s="18"/>
    </row>
    <row r="133" spans="1:11" ht="42" customHeight="1">
      <c r="A133" s="17" t="s">
        <v>1849</v>
      </c>
      <c r="B133" s="18" t="s">
        <v>1035</v>
      </c>
      <c r="C133" s="18" t="s">
        <v>1051</v>
      </c>
      <c r="D133" s="19" t="s">
        <v>44</v>
      </c>
      <c r="E133" s="17" t="s">
        <v>46</v>
      </c>
      <c r="F133" s="18" t="s">
        <v>1052</v>
      </c>
      <c r="G133" s="18" t="s">
        <v>1850</v>
      </c>
      <c r="H133" s="18" t="s">
        <v>986</v>
      </c>
      <c r="I133" s="18"/>
      <c r="J133" s="16" t="s">
        <v>51</v>
      </c>
      <c r="K133" s="18"/>
    </row>
    <row r="134" spans="1:11" ht="55.5" customHeight="1">
      <c r="A134" s="17" t="s">
        <v>1851</v>
      </c>
      <c r="B134" s="18" t="s">
        <v>1035</v>
      </c>
      <c r="C134" s="18" t="s">
        <v>1055</v>
      </c>
      <c r="D134" s="19" t="s">
        <v>44</v>
      </c>
      <c r="E134" s="17" t="s">
        <v>46</v>
      </c>
      <c r="F134" s="18" t="s">
        <v>1056</v>
      </c>
      <c r="G134" s="18" t="s">
        <v>1852</v>
      </c>
      <c r="H134" s="18" t="s">
        <v>991</v>
      </c>
      <c r="I134" s="18"/>
      <c r="J134" s="16" t="s">
        <v>51</v>
      </c>
      <c r="K134" s="18"/>
    </row>
    <row r="135" spans="1:11" ht="55.5" customHeight="1">
      <c r="A135" s="13" t="s">
        <v>1853</v>
      </c>
      <c r="B135" s="14" t="s">
        <v>1059</v>
      </c>
      <c r="C135" s="14" t="s">
        <v>1060</v>
      </c>
      <c r="D135" s="15" t="s">
        <v>43</v>
      </c>
      <c r="E135" s="13" t="s">
        <v>46</v>
      </c>
      <c r="F135" s="14" t="s">
        <v>1061</v>
      </c>
      <c r="G135" s="14" t="s">
        <v>1854</v>
      </c>
      <c r="H135" s="14" t="s">
        <v>1063</v>
      </c>
      <c r="I135" s="14"/>
      <c r="J135" s="16" t="s">
        <v>51</v>
      </c>
      <c r="K135" s="14"/>
    </row>
    <row r="136" spans="1:11" ht="42" customHeight="1">
      <c r="A136" s="17" t="s">
        <v>1855</v>
      </c>
      <c r="B136" s="18" t="s">
        <v>1059</v>
      </c>
      <c r="C136" s="18" t="s">
        <v>1065</v>
      </c>
      <c r="D136" s="19" t="s">
        <v>44</v>
      </c>
      <c r="E136" s="17" t="s">
        <v>46</v>
      </c>
      <c r="F136" s="18" t="s">
        <v>1066</v>
      </c>
      <c r="G136" s="18" t="s">
        <v>1067</v>
      </c>
      <c r="H136" s="18" t="s">
        <v>1068</v>
      </c>
      <c r="I136" s="18"/>
      <c r="J136" s="16" t="s">
        <v>51</v>
      </c>
      <c r="K136" s="18"/>
    </row>
    <row r="137" spans="1:11" ht="42" customHeight="1">
      <c r="A137" s="17" t="s">
        <v>1856</v>
      </c>
      <c r="B137" s="18" t="s">
        <v>1059</v>
      </c>
      <c r="C137" s="18" t="s">
        <v>1070</v>
      </c>
      <c r="D137" s="19" t="s">
        <v>44</v>
      </c>
      <c r="E137" s="17" t="s">
        <v>46</v>
      </c>
      <c r="F137" s="18" t="s">
        <v>1071</v>
      </c>
      <c r="G137" s="18" t="s">
        <v>1072</v>
      </c>
      <c r="H137" s="18" t="s">
        <v>156</v>
      </c>
      <c r="I137" s="18"/>
      <c r="J137" s="16" t="s">
        <v>51</v>
      </c>
      <c r="K137" s="18"/>
    </row>
    <row r="138" spans="1:11" ht="42" customHeight="1">
      <c r="A138" s="17" t="s">
        <v>1857</v>
      </c>
      <c r="B138" s="18" t="s">
        <v>1059</v>
      </c>
      <c r="C138" s="18" t="s">
        <v>1074</v>
      </c>
      <c r="D138" s="19" t="s">
        <v>44</v>
      </c>
      <c r="E138" s="17" t="s">
        <v>47</v>
      </c>
      <c r="F138" s="18" t="s">
        <v>1075</v>
      </c>
      <c r="G138" s="18" t="s">
        <v>1076</v>
      </c>
      <c r="H138" s="18" t="s">
        <v>630</v>
      </c>
      <c r="I138" s="18"/>
      <c r="J138" s="16" t="s">
        <v>51</v>
      </c>
      <c r="K138" s="18" t="s">
        <v>631</v>
      </c>
    </row>
    <row r="139" spans="1:11" ht="55.5" customHeight="1">
      <c r="A139" s="13" t="s">
        <v>1858</v>
      </c>
      <c r="B139" s="14" t="s">
        <v>1059</v>
      </c>
      <c r="C139" s="14" t="s">
        <v>1078</v>
      </c>
      <c r="D139" s="15" t="s">
        <v>43</v>
      </c>
      <c r="E139" s="13" t="s">
        <v>46</v>
      </c>
      <c r="F139" s="14" t="s">
        <v>1079</v>
      </c>
      <c r="G139" s="14" t="s">
        <v>1859</v>
      </c>
      <c r="H139" s="14" t="s">
        <v>758</v>
      </c>
      <c r="I139" s="14"/>
      <c r="J139" s="16" t="s">
        <v>51</v>
      </c>
      <c r="K139" s="14"/>
    </row>
    <row r="140" spans="1:11" ht="27.75" customHeight="1">
      <c r="A140" s="17" t="s">
        <v>1860</v>
      </c>
      <c r="B140" s="18" t="s">
        <v>1059</v>
      </c>
      <c r="C140" s="18" t="s">
        <v>1082</v>
      </c>
      <c r="D140" s="19" t="s">
        <v>44</v>
      </c>
      <c r="E140" s="17" t="s">
        <v>46</v>
      </c>
      <c r="F140" s="18" t="s">
        <v>1083</v>
      </c>
      <c r="G140" s="18" t="s">
        <v>1084</v>
      </c>
      <c r="H140" s="18" t="s">
        <v>1085</v>
      </c>
      <c r="I140" s="18"/>
      <c r="J140" s="16" t="s">
        <v>51</v>
      </c>
      <c r="K140" s="18"/>
    </row>
    <row r="141" spans="1:11" ht="42" customHeight="1">
      <c r="A141" s="17" t="s">
        <v>1861</v>
      </c>
      <c r="B141" s="18" t="s">
        <v>1059</v>
      </c>
      <c r="C141" s="18" t="s">
        <v>1087</v>
      </c>
      <c r="D141" s="19" t="s">
        <v>44</v>
      </c>
      <c r="E141" s="17" t="s">
        <v>46</v>
      </c>
      <c r="F141" s="18" t="s">
        <v>1088</v>
      </c>
      <c r="G141" s="18" t="s">
        <v>1089</v>
      </c>
      <c r="H141" s="18" t="s">
        <v>1090</v>
      </c>
      <c r="I141" s="18"/>
      <c r="J141" s="16" t="s">
        <v>51</v>
      </c>
      <c r="K141" s="18" t="s">
        <v>631</v>
      </c>
    </row>
    <row r="142" spans="1:11" ht="55.5" customHeight="1">
      <c r="A142" s="17" t="s">
        <v>1862</v>
      </c>
      <c r="B142" s="18" t="s">
        <v>1059</v>
      </c>
      <c r="C142" s="18" t="s">
        <v>1092</v>
      </c>
      <c r="D142" s="19" t="s">
        <v>44</v>
      </c>
      <c r="E142" s="17" t="s">
        <v>47</v>
      </c>
      <c r="F142" s="18" t="s">
        <v>1093</v>
      </c>
      <c r="G142" s="18" t="s">
        <v>1094</v>
      </c>
      <c r="H142" s="18" t="s">
        <v>1095</v>
      </c>
      <c r="I142" s="18"/>
      <c r="J142" s="16" t="s">
        <v>51</v>
      </c>
      <c r="K142" s="18" t="s">
        <v>631</v>
      </c>
    </row>
    <row r="143" spans="1:11" ht="42" customHeight="1">
      <c r="A143" s="13" t="s">
        <v>1863</v>
      </c>
      <c r="B143" s="14" t="s">
        <v>1059</v>
      </c>
      <c r="C143" s="14" t="s">
        <v>1097</v>
      </c>
      <c r="D143" s="15" t="s">
        <v>43</v>
      </c>
      <c r="E143" s="13" t="s">
        <v>46</v>
      </c>
      <c r="F143" s="14" t="s">
        <v>1098</v>
      </c>
      <c r="G143" s="14" t="s">
        <v>1864</v>
      </c>
      <c r="H143" s="14" t="s">
        <v>743</v>
      </c>
      <c r="I143" s="14"/>
      <c r="J143" s="16" t="s">
        <v>51</v>
      </c>
      <c r="K143" s="14"/>
    </row>
    <row r="144" spans="1:11" ht="42" customHeight="1">
      <c r="A144" s="17" t="s">
        <v>1865</v>
      </c>
      <c r="B144" s="18" t="s">
        <v>1059</v>
      </c>
      <c r="C144" s="18" t="s">
        <v>1101</v>
      </c>
      <c r="D144" s="19" t="s">
        <v>44</v>
      </c>
      <c r="E144" s="17" t="s">
        <v>46</v>
      </c>
      <c r="F144" s="18" t="s">
        <v>1102</v>
      </c>
      <c r="G144" s="18" t="s">
        <v>1103</v>
      </c>
      <c r="H144" s="18" t="s">
        <v>1104</v>
      </c>
      <c r="I144" s="18"/>
      <c r="J144" s="16" t="s">
        <v>51</v>
      </c>
      <c r="K144" s="18"/>
    </row>
    <row r="145" spans="1:11" ht="42" customHeight="1">
      <c r="A145" s="13" t="s">
        <v>1866</v>
      </c>
      <c r="B145" s="14" t="s">
        <v>1059</v>
      </c>
      <c r="C145" s="14" t="s">
        <v>1106</v>
      </c>
      <c r="D145" s="15" t="s">
        <v>43</v>
      </c>
      <c r="E145" s="13" t="s">
        <v>47</v>
      </c>
      <c r="F145" s="14" t="s">
        <v>1107</v>
      </c>
      <c r="G145" s="14" t="s">
        <v>1108</v>
      </c>
      <c r="H145" s="14" t="s">
        <v>753</v>
      </c>
      <c r="I145" s="14"/>
      <c r="J145" s="16" t="s">
        <v>51</v>
      </c>
      <c r="K145" s="14" t="s">
        <v>631</v>
      </c>
    </row>
    <row r="146" spans="1:11" ht="42" customHeight="1">
      <c r="A146" s="13" t="s">
        <v>1867</v>
      </c>
      <c r="B146" s="14" t="s">
        <v>1059</v>
      </c>
      <c r="C146" s="14" t="s">
        <v>1110</v>
      </c>
      <c r="D146" s="15" t="s">
        <v>43</v>
      </c>
      <c r="E146" s="13" t="s">
        <v>46</v>
      </c>
      <c r="F146" s="14" t="s">
        <v>1111</v>
      </c>
      <c r="G146" s="14" t="s">
        <v>1112</v>
      </c>
      <c r="H146" s="14" t="s">
        <v>743</v>
      </c>
      <c r="I146" s="14"/>
      <c r="J146" s="16" t="s">
        <v>51</v>
      </c>
      <c r="K146" s="14"/>
    </row>
    <row r="147" spans="1:11" ht="42" customHeight="1">
      <c r="A147" s="17" t="s">
        <v>1868</v>
      </c>
      <c r="B147" s="18" t="s">
        <v>1059</v>
      </c>
      <c r="C147" s="18" t="s">
        <v>1114</v>
      </c>
      <c r="D147" s="19" t="s">
        <v>44</v>
      </c>
      <c r="E147" s="17" t="s">
        <v>46</v>
      </c>
      <c r="F147" s="18" t="s">
        <v>1115</v>
      </c>
      <c r="G147" s="18" t="s">
        <v>1116</v>
      </c>
      <c r="H147" s="18" t="s">
        <v>1117</v>
      </c>
      <c r="I147" s="18"/>
      <c r="J147" s="16" t="s">
        <v>51</v>
      </c>
      <c r="K147" s="18"/>
    </row>
    <row r="148" spans="1:11" ht="42" customHeight="1">
      <c r="A148" s="13" t="s">
        <v>1869</v>
      </c>
      <c r="B148" s="14" t="s">
        <v>1059</v>
      </c>
      <c r="C148" s="14" t="s">
        <v>1119</v>
      </c>
      <c r="D148" s="15" t="s">
        <v>43</v>
      </c>
      <c r="E148" s="13" t="s">
        <v>47</v>
      </c>
      <c r="F148" s="14" t="s">
        <v>1120</v>
      </c>
      <c r="G148" s="14" t="s">
        <v>1121</v>
      </c>
      <c r="H148" s="14" t="s">
        <v>753</v>
      </c>
      <c r="I148" s="14"/>
      <c r="J148" s="16" t="s">
        <v>51</v>
      </c>
      <c r="K148" s="14" t="s">
        <v>631</v>
      </c>
    </row>
    <row r="149" spans="1:11" ht="55.5" customHeight="1">
      <c r="A149" s="13" t="s">
        <v>1870</v>
      </c>
      <c r="B149" s="14" t="s">
        <v>1059</v>
      </c>
      <c r="C149" s="14" t="s">
        <v>1123</v>
      </c>
      <c r="D149" s="15" t="s">
        <v>43</v>
      </c>
      <c r="E149" s="13" t="s">
        <v>46</v>
      </c>
      <c r="F149" s="14" t="s">
        <v>1124</v>
      </c>
      <c r="G149" s="14" t="s">
        <v>1871</v>
      </c>
      <c r="H149" s="14" t="s">
        <v>1126</v>
      </c>
      <c r="I149" s="14"/>
      <c r="J149" s="16" t="s">
        <v>51</v>
      </c>
      <c r="K149" s="14"/>
    </row>
    <row r="150" spans="1:11" ht="27.75" customHeight="1">
      <c r="A150" s="17" t="s">
        <v>1872</v>
      </c>
      <c r="B150" s="18" t="s">
        <v>1059</v>
      </c>
      <c r="C150" s="18" t="s">
        <v>1128</v>
      </c>
      <c r="D150" s="19" t="s">
        <v>44</v>
      </c>
      <c r="E150" s="17" t="s">
        <v>46</v>
      </c>
      <c r="F150" s="18" t="s">
        <v>1129</v>
      </c>
      <c r="G150" s="18" t="s">
        <v>1130</v>
      </c>
      <c r="H150" s="18" t="s">
        <v>1131</v>
      </c>
      <c r="I150" s="18"/>
      <c r="J150" s="16" t="s">
        <v>51</v>
      </c>
      <c r="K150" s="18"/>
    </row>
    <row r="151" spans="1:11" ht="42" customHeight="1">
      <c r="A151" s="17" t="s">
        <v>1873</v>
      </c>
      <c r="B151" s="18" t="s">
        <v>1059</v>
      </c>
      <c r="C151" s="18" t="s">
        <v>1133</v>
      </c>
      <c r="D151" s="19" t="s">
        <v>44</v>
      </c>
      <c r="E151" s="17" t="s">
        <v>46</v>
      </c>
      <c r="F151" s="18" t="s">
        <v>1134</v>
      </c>
      <c r="G151" s="18" t="s">
        <v>1135</v>
      </c>
      <c r="H151" s="18" t="s">
        <v>829</v>
      </c>
      <c r="I151" s="18"/>
      <c r="J151" s="16" t="s">
        <v>51</v>
      </c>
      <c r="K151" s="18" t="s">
        <v>631</v>
      </c>
    </row>
    <row r="152" spans="1:11" ht="42" customHeight="1">
      <c r="A152" s="17" t="s">
        <v>1874</v>
      </c>
      <c r="B152" s="18" t="s">
        <v>1059</v>
      </c>
      <c r="C152" s="18" t="s">
        <v>1137</v>
      </c>
      <c r="D152" s="19" t="s">
        <v>44</v>
      </c>
      <c r="E152" s="17" t="s">
        <v>46</v>
      </c>
      <c r="F152" s="18" t="s">
        <v>1138</v>
      </c>
      <c r="G152" s="18" t="s">
        <v>1139</v>
      </c>
      <c r="H152" s="18" t="s">
        <v>834</v>
      </c>
      <c r="I152" s="18"/>
      <c r="J152" s="16" t="s">
        <v>51</v>
      </c>
      <c r="K152" s="18"/>
    </row>
    <row r="153" spans="1:11" ht="42" customHeight="1">
      <c r="A153" s="13" t="s">
        <v>1875</v>
      </c>
      <c r="B153" s="14" t="s">
        <v>1059</v>
      </c>
      <c r="C153" s="14" t="s">
        <v>1141</v>
      </c>
      <c r="D153" s="15" t="s">
        <v>43</v>
      </c>
      <c r="E153" s="13" t="s">
        <v>46</v>
      </c>
      <c r="F153" s="14" t="s">
        <v>1142</v>
      </c>
      <c r="G153" s="14" t="s">
        <v>1143</v>
      </c>
      <c r="H153" s="14" t="s">
        <v>743</v>
      </c>
      <c r="I153" s="14"/>
      <c r="J153" s="16" t="s">
        <v>51</v>
      </c>
      <c r="K153" s="14"/>
    </row>
    <row r="154" spans="1:11" ht="42" customHeight="1">
      <c r="A154" s="17" t="s">
        <v>1876</v>
      </c>
      <c r="B154" s="18" t="s">
        <v>1059</v>
      </c>
      <c r="C154" s="18" t="s">
        <v>1145</v>
      </c>
      <c r="D154" s="19" t="s">
        <v>44</v>
      </c>
      <c r="E154" s="17" t="s">
        <v>46</v>
      </c>
      <c r="F154" s="18" t="s">
        <v>1146</v>
      </c>
      <c r="G154" s="18" t="s">
        <v>1147</v>
      </c>
      <c r="H154" s="18" t="s">
        <v>1148</v>
      </c>
      <c r="I154" s="18"/>
      <c r="J154" s="16" t="s">
        <v>51</v>
      </c>
      <c r="K154" s="18"/>
    </row>
    <row r="155" spans="1:11" ht="42" customHeight="1">
      <c r="A155" s="13" t="s">
        <v>1877</v>
      </c>
      <c r="B155" s="14" t="s">
        <v>1059</v>
      </c>
      <c r="C155" s="14" t="s">
        <v>1150</v>
      </c>
      <c r="D155" s="15" t="s">
        <v>43</v>
      </c>
      <c r="E155" s="13" t="s">
        <v>47</v>
      </c>
      <c r="F155" s="14" t="s">
        <v>1151</v>
      </c>
      <c r="G155" s="14" t="s">
        <v>1152</v>
      </c>
      <c r="H155" s="14" t="s">
        <v>753</v>
      </c>
      <c r="I155" s="14"/>
      <c r="J155" s="16" t="s">
        <v>51</v>
      </c>
      <c r="K155" s="14" t="s">
        <v>631</v>
      </c>
    </row>
    <row r="156" spans="1:11" ht="69.75" customHeight="1">
      <c r="A156" s="13" t="s">
        <v>1878</v>
      </c>
      <c r="B156" s="14" t="s">
        <v>1059</v>
      </c>
      <c r="C156" s="14" t="s">
        <v>1154</v>
      </c>
      <c r="D156" s="15" t="s">
        <v>43</v>
      </c>
      <c r="E156" s="13" t="s">
        <v>46</v>
      </c>
      <c r="F156" s="14" t="s">
        <v>1155</v>
      </c>
      <c r="G156" s="14" t="s">
        <v>1879</v>
      </c>
      <c r="H156" s="14" t="s">
        <v>1157</v>
      </c>
      <c r="I156" s="14"/>
      <c r="J156" s="16" t="s">
        <v>51</v>
      </c>
      <c r="K156" s="14"/>
    </row>
    <row r="157" spans="1:11" ht="27.75" customHeight="1">
      <c r="A157" s="17" t="s">
        <v>1880</v>
      </c>
      <c r="B157" s="18" t="s">
        <v>1059</v>
      </c>
      <c r="C157" s="18" t="s">
        <v>1159</v>
      </c>
      <c r="D157" s="19" t="s">
        <v>44</v>
      </c>
      <c r="E157" s="17" t="s">
        <v>46</v>
      </c>
      <c r="F157" s="18" t="s">
        <v>1160</v>
      </c>
      <c r="G157" s="18" t="s">
        <v>1161</v>
      </c>
      <c r="H157" s="18" t="s">
        <v>1162</v>
      </c>
      <c r="I157" s="18"/>
      <c r="J157" s="16" t="s">
        <v>51</v>
      </c>
      <c r="K157" s="18"/>
    </row>
    <row r="158" spans="1:11" ht="42" customHeight="1">
      <c r="A158" s="17" t="s">
        <v>1881</v>
      </c>
      <c r="B158" s="18" t="s">
        <v>1059</v>
      </c>
      <c r="C158" s="18" t="s">
        <v>1164</v>
      </c>
      <c r="D158" s="19" t="s">
        <v>44</v>
      </c>
      <c r="E158" s="17" t="s">
        <v>46</v>
      </c>
      <c r="F158" s="18" t="s">
        <v>1165</v>
      </c>
      <c r="G158" s="18" t="s">
        <v>1166</v>
      </c>
      <c r="H158" s="18" t="s">
        <v>1167</v>
      </c>
      <c r="I158" s="18"/>
      <c r="J158" s="16" t="s">
        <v>51</v>
      </c>
      <c r="K158" s="18" t="s">
        <v>631</v>
      </c>
    </row>
    <row r="159" spans="1:11" ht="42" customHeight="1">
      <c r="A159" s="17" t="s">
        <v>1882</v>
      </c>
      <c r="B159" s="18" t="s">
        <v>1059</v>
      </c>
      <c r="C159" s="18" t="s">
        <v>1169</v>
      </c>
      <c r="D159" s="19" t="s">
        <v>44</v>
      </c>
      <c r="E159" s="17" t="s">
        <v>47</v>
      </c>
      <c r="F159" s="18" t="s">
        <v>1170</v>
      </c>
      <c r="G159" s="18" t="s">
        <v>1171</v>
      </c>
      <c r="H159" s="18" t="s">
        <v>651</v>
      </c>
      <c r="I159" s="18"/>
      <c r="J159" s="16" t="s">
        <v>51</v>
      </c>
      <c r="K159" s="18" t="s">
        <v>631</v>
      </c>
    </row>
    <row r="160" spans="1:11" ht="69.75" customHeight="1">
      <c r="A160" s="13" t="s">
        <v>1883</v>
      </c>
      <c r="B160" s="14" t="s">
        <v>1059</v>
      </c>
      <c r="C160" s="14" t="s">
        <v>1173</v>
      </c>
      <c r="D160" s="15" t="s">
        <v>43</v>
      </c>
      <c r="E160" s="13" t="s">
        <v>45</v>
      </c>
      <c r="F160" s="14" t="s">
        <v>1174</v>
      </c>
      <c r="G160" s="14" t="s">
        <v>1884</v>
      </c>
      <c r="H160" s="14" t="s">
        <v>966</v>
      </c>
      <c r="I160" s="14"/>
      <c r="J160" s="16" t="s">
        <v>51</v>
      </c>
      <c r="K160" s="14"/>
    </row>
    <row r="161" spans="1:11" ht="27.75" customHeight="1">
      <c r="A161" s="17" t="s">
        <v>1885</v>
      </c>
      <c r="B161" s="18" t="s">
        <v>1059</v>
      </c>
      <c r="C161" s="18" t="s">
        <v>1177</v>
      </c>
      <c r="D161" s="19" t="s">
        <v>44</v>
      </c>
      <c r="E161" s="17" t="s">
        <v>45</v>
      </c>
      <c r="F161" s="18" t="s">
        <v>1178</v>
      </c>
      <c r="G161" s="18" t="s">
        <v>1179</v>
      </c>
      <c r="H161" s="18" t="s">
        <v>1180</v>
      </c>
      <c r="I161" s="18"/>
      <c r="J161" s="16" t="s">
        <v>51</v>
      </c>
      <c r="K161" s="18"/>
    </row>
    <row r="162" spans="1:11" ht="55.5" customHeight="1">
      <c r="A162" s="17" t="s">
        <v>1886</v>
      </c>
      <c r="B162" s="18" t="s">
        <v>1059</v>
      </c>
      <c r="C162" s="18" t="s">
        <v>1182</v>
      </c>
      <c r="D162" s="19" t="s">
        <v>44</v>
      </c>
      <c r="E162" s="17" t="s">
        <v>45</v>
      </c>
      <c r="F162" s="18" t="s">
        <v>1183</v>
      </c>
      <c r="G162" s="18" t="s">
        <v>1005</v>
      </c>
      <c r="H162" s="18" t="s">
        <v>976</v>
      </c>
      <c r="I162" s="18"/>
      <c r="J162" s="16" t="s">
        <v>51</v>
      </c>
      <c r="K162" s="18"/>
    </row>
    <row r="163" spans="1:11" ht="42" customHeight="1">
      <c r="A163" s="17" t="s">
        <v>1887</v>
      </c>
      <c r="B163" s="18" t="s">
        <v>1059</v>
      </c>
      <c r="C163" s="18" t="s">
        <v>1185</v>
      </c>
      <c r="D163" s="19" t="s">
        <v>44</v>
      </c>
      <c r="E163" s="17" t="s">
        <v>46</v>
      </c>
      <c r="F163" s="18" t="s">
        <v>1186</v>
      </c>
      <c r="G163" s="18" t="s">
        <v>980</v>
      </c>
      <c r="H163" s="18" t="s">
        <v>1187</v>
      </c>
      <c r="I163" s="18"/>
      <c r="J163" s="16" t="s">
        <v>51</v>
      </c>
      <c r="K163" s="18"/>
    </row>
    <row r="164" spans="1:11" ht="27.75" customHeight="1">
      <c r="A164" s="17" t="s">
        <v>1888</v>
      </c>
      <c r="B164" s="18" t="s">
        <v>1059</v>
      </c>
      <c r="C164" s="18" t="s">
        <v>1189</v>
      </c>
      <c r="D164" s="19" t="s">
        <v>44</v>
      </c>
      <c r="E164" s="17" t="s">
        <v>46</v>
      </c>
      <c r="F164" s="18" t="s">
        <v>1190</v>
      </c>
      <c r="G164" s="18" t="s">
        <v>1889</v>
      </c>
      <c r="H164" s="18" t="s">
        <v>986</v>
      </c>
      <c r="I164" s="18"/>
      <c r="J164" s="16" t="s">
        <v>51</v>
      </c>
      <c r="K164" s="18"/>
    </row>
    <row r="165" spans="1:11" ht="42" customHeight="1">
      <c r="A165" s="17" t="s">
        <v>1890</v>
      </c>
      <c r="B165" s="18" t="s">
        <v>1059</v>
      </c>
      <c r="C165" s="18" t="s">
        <v>1193</v>
      </c>
      <c r="D165" s="19" t="s">
        <v>44</v>
      </c>
      <c r="E165" s="17" t="s">
        <v>46</v>
      </c>
      <c r="F165" s="18" t="s">
        <v>1194</v>
      </c>
      <c r="G165" s="18" t="s">
        <v>1891</v>
      </c>
      <c r="H165" s="18" t="s">
        <v>991</v>
      </c>
      <c r="I165" s="18"/>
      <c r="J165" s="16" t="s">
        <v>51</v>
      </c>
      <c r="K165" s="18"/>
    </row>
    <row r="166" spans="1:11" ht="69.75" customHeight="1">
      <c r="A166" s="13" t="s">
        <v>1892</v>
      </c>
      <c r="B166" s="14" t="s">
        <v>1059</v>
      </c>
      <c r="C166" s="14" t="s">
        <v>1197</v>
      </c>
      <c r="D166" s="15" t="s">
        <v>43</v>
      </c>
      <c r="E166" s="13" t="s">
        <v>45</v>
      </c>
      <c r="F166" s="14" t="s">
        <v>1198</v>
      </c>
      <c r="G166" s="14" t="s">
        <v>1893</v>
      </c>
      <c r="H166" s="14" t="s">
        <v>1894</v>
      </c>
      <c r="I166" s="14"/>
      <c r="J166" s="16" t="s">
        <v>51</v>
      </c>
      <c r="K166" s="14"/>
    </row>
    <row r="167" spans="1:11" ht="55.5" customHeight="1">
      <c r="A167" s="13" t="s">
        <v>1895</v>
      </c>
      <c r="B167" s="14" t="s">
        <v>1059</v>
      </c>
      <c r="C167" s="14" t="s">
        <v>1202</v>
      </c>
      <c r="D167" s="15" t="s">
        <v>43</v>
      </c>
      <c r="E167" s="13" t="s">
        <v>46</v>
      </c>
      <c r="F167" s="14" t="s">
        <v>1203</v>
      </c>
      <c r="G167" s="14" t="s">
        <v>1204</v>
      </c>
      <c r="H167" s="14" t="s">
        <v>1205</v>
      </c>
      <c r="I167" s="14"/>
      <c r="J167" s="16" t="s">
        <v>51</v>
      </c>
      <c r="K167" s="14" t="s">
        <v>631</v>
      </c>
    </row>
    <row r="168" spans="1:11" ht="42" customHeight="1">
      <c r="A168" s="17" t="s">
        <v>1896</v>
      </c>
      <c r="B168" s="18" t="s">
        <v>1059</v>
      </c>
      <c r="C168" s="18" t="s">
        <v>1207</v>
      </c>
      <c r="D168" s="19" t="s">
        <v>44</v>
      </c>
      <c r="E168" s="17" t="s">
        <v>45</v>
      </c>
      <c r="F168" s="18" t="s">
        <v>1208</v>
      </c>
      <c r="G168" s="18" t="s">
        <v>1209</v>
      </c>
      <c r="H168" s="18" t="s">
        <v>1210</v>
      </c>
      <c r="I168" s="18"/>
      <c r="J168" s="16" t="s">
        <v>51</v>
      </c>
      <c r="K168" s="18" t="s">
        <v>631</v>
      </c>
    </row>
    <row r="169" spans="1:11" ht="42" customHeight="1">
      <c r="A169" s="13" t="s">
        <v>1897</v>
      </c>
      <c r="B169" s="14" t="s">
        <v>1059</v>
      </c>
      <c r="C169" s="14" t="s">
        <v>1212</v>
      </c>
      <c r="D169" s="15" t="s">
        <v>43</v>
      </c>
      <c r="E169" s="13" t="s">
        <v>46</v>
      </c>
      <c r="F169" s="14" t="s">
        <v>1213</v>
      </c>
      <c r="G169" s="14" t="s">
        <v>1898</v>
      </c>
      <c r="H169" s="14" t="s">
        <v>1215</v>
      </c>
      <c r="I169" s="14"/>
      <c r="J169" s="16" t="s">
        <v>51</v>
      </c>
      <c r="K169" s="14"/>
    </row>
    <row r="170" spans="1:11" ht="27.75" customHeight="1">
      <c r="A170" s="17" t="s">
        <v>1899</v>
      </c>
      <c r="B170" s="18" t="s">
        <v>1059</v>
      </c>
      <c r="C170" s="18" t="s">
        <v>1217</v>
      </c>
      <c r="D170" s="19" t="s">
        <v>44</v>
      </c>
      <c r="E170" s="17" t="s">
        <v>45</v>
      </c>
      <c r="F170" s="18" t="s">
        <v>1218</v>
      </c>
      <c r="G170" s="18" t="s">
        <v>1219</v>
      </c>
      <c r="H170" s="18" t="s">
        <v>1220</v>
      </c>
      <c r="I170" s="18"/>
      <c r="J170" s="16" t="s">
        <v>51</v>
      </c>
      <c r="K170" s="18"/>
    </row>
    <row r="171" spans="1:11" ht="55.5" customHeight="1">
      <c r="A171" s="13" t="s">
        <v>1900</v>
      </c>
      <c r="B171" s="14" t="s">
        <v>1222</v>
      </c>
      <c r="C171" s="14" t="s">
        <v>1223</v>
      </c>
      <c r="D171" s="15" t="s">
        <v>43</v>
      </c>
      <c r="E171" s="13" t="s">
        <v>46</v>
      </c>
      <c r="F171" s="14" t="s">
        <v>1224</v>
      </c>
      <c r="G171" s="14" t="s">
        <v>1901</v>
      </c>
      <c r="H171" s="14" t="s">
        <v>1226</v>
      </c>
      <c r="I171" s="14"/>
      <c r="J171" s="16" t="s">
        <v>51</v>
      </c>
      <c r="K171" s="14"/>
    </row>
    <row r="172" spans="1:11" ht="42" customHeight="1">
      <c r="A172" s="17" t="s">
        <v>1902</v>
      </c>
      <c r="B172" s="18" t="s">
        <v>1222</v>
      </c>
      <c r="C172" s="18" t="s">
        <v>1228</v>
      </c>
      <c r="D172" s="19" t="s">
        <v>44</v>
      </c>
      <c r="E172" s="17" t="s">
        <v>46</v>
      </c>
      <c r="F172" s="18" t="s">
        <v>1229</v>
      </c>
      <c r="G172" s="18" t="s">
        <v>1230</v>
      </c>
      <c r="H172" s="18" t="s">
        <v>1231</v>
      </c>
      <c r="I172" s="18"/>
      <c r="J172" s="16" t="s">
        <v>51</v>
      </c>
      <c r="K172" s="18"/>
    </row>
    <row r="173" spans="1:11" ht="42" customHeight="1">
      <c r="A173" s="17" t="s">
        <v>1903</v>
      </c>
      <c r="B173" s="18" t="s">
        <v>1222</v>
      </c>
      <c r="C173" s="18" t="s">
        <v>1233</v>
      </c>
      <c r="D173" s="19" t="s">
        <v>44</v>
      </c>
      <c r="E173" s="17" t="s">
        <v>46</v>
      </c>
      <c r="F173" s="18" t="s">
        <v>1234</v>
      </c>
      <c r="G173" s="18" t="s">
        <v>1235</v>
      </c>
      <c r="H173" s="18" t="s">
        <v>156</v>
      </c>
      <c r="I173" s="18"/>
      <c r="J173" s="16" t="s">
        <v>51</v>
      </c>
      <c r="K173" s="18"/>
    </row>
    <row r="174" spans="1:11" ht="42" customHeight="1">
      <c r="A174" s="17" t="s">
        <v>1904</v>
      </c>
      <c r="B174" s="18" t="s">
        <v>1222</v>
      </c>
      <c r="C174" s="18" t="s">
        <v>1237</v>
      </c>
      <c r="D174" s="19" t="s">
        <v>44</v>
      </c>
      <c r="E174" s="17" t="s">
        <v>47</v>
      </c>
      <c r="F174" s="18" t="s">
        <v>1238</v>
      </c>
      <c r="G174" s="18" t="s">
        <v>1239</v>
      </c>
      <c r="H174" s="18" t="s">
        <v>630</v>
      </c>
      <c r="I174" s="18"/>
      <c r="J174" s="16" t="s">
        <v>51</v>
      </c>
      <c r="K174" s="18" t="s">
        <v>631</v>
      </c>
    </row>
    <row r="175" spans="1:11" ht="55.5" customHeight="1">
      <c r="A175" s="13" t="s">
        <v>1905</v>
      </c>
      <c r="B175" s="14" t="s">
        <v>1222</v>
      </c>
      <c r="C175" s="14" t="s">
        <v>1241</v>
      </c>
      <c r="D175" s="15" t="s">
        <v>43</v>
      </c>
      <c r="E175" s="13" t="s">
        <v>46</v>
      </c>
      <c r="F175" s="14" t="s">
        <v>1242</v>
      </c>
      <c r="G175" s="14" t="s">
        <v>1906</v>
      </c>
      <c r="H175" s="14" t="s">
        <v>1244</v>
      </c>
      <c r="I175" s="14"/>
      <c r="J175" s="16" t="s">
        <v>51</v>
      </c>
      <c r="K175" s="14"/>
    </row>
    <row r="176" spans="1:11" ht="42" customHeight="1">
      <c r="A176" s="17" t="s">
        <v>1907</v>
      </c>
      <c r="B176" s="18" t="s">
        <v>1222</v>
      </c>
      <c r="C176" s="18" t="s">
        <v>1246</v>
      </c>
      <c r="D176" s="19" t="s">
        <v>44</v>
      </c>
      <c r="E176" s="17" t="s">
        <v>46</v>
      </c>
      <c r="F176" s="18" t="s">
        <v>1247</v>
      </c>
      <c r="G176" s="18" t="s">
        <v>1248</v>
      </c>
      <c r="H176" s="18" t="s">
        <v>1249</v>
      </c>
      <c r="I176" s="18"/>
      <c r="J176" s="16" t="s">
        <v>51</v>
      </c>
      <c r="K176" s="18"/>
    </row>
    <row r="177" spans="1:11" ht="42" customHeight="1">
      <c r="A177" s="17" t="s">
        <v>1908</v>
      </c>
      <c r="B177" s="18" t="s">
        <v>1222</v>
      </c>
      <c r="C177" s="18" t="s">
        <v>1251</v>
      </c>
      <c r="D177" s="19" t="s">
        <v>44</v>
      </c>
      <c r="E177" s="17" t="s">
        <v>46</v>
      </c>
      <c r="F177" s="18" t="s">
        <v>1252</v>
      </c>
      <c r="G177" s="18" t="s">
        <v>1253</v>
      </c>
      <c r="H177" s="18" t="s">
        <v>156</v>
      </c>
      <c r="I177" s="18"/>
      <c r="J177" s="16" t="s">
        <v>51</v>
      </c>
      <c r="K177" s="18"/>
    </row>
    <row r="178" spans="1:11" ht="42" customHeight="1">
      <c r="A178" s="17" t="s">
        <v>1909</v>
      </c>
      <c r="B178" s="18" t="s">
        <v>1222</v>
      </c>
      <c r="C178" s="18" t="s">
        <v>1255</v>
      </c>
      <c r="D178" s="19" t="s">
        <v>44</v>
      </c>
      <c r="E178" s="17" t="s">
        <v>47</v>
      </c>
      <c r="F178" s="18" t="s">
        <v>1256</v>
      </c>
      <c r="G178" s="18" t="s">
        <v>1257</v>
      </c>
      <c r="H178" s="18" t="s">
        <v>630</v>
      </c>
      <c r="I178" s="18"/>
      <c r="J178" s="16" t="s">
        <v>51</v>
      </c>
      <c r="K178" s="18" t="s">
        <v>631</v>
      </c>
    </row>
    <row r="179" spans="1:11" ht="42" customHeight="1">
      <c r="A179" s="13" t="s">
        <v>1910</v>
      </c>
      <c r="B179" s="14" t="s">
        <v>1222</v>
      </c>
      <c r="C179" s="14" t="s">
        <v>1259</v>
      </c>
      <c r="D179" s="15" t="s">
        <v>43</v>
      </c>
      <c r="E179" s="13" t="s">
        <v>46</v>
      </c>
      <c r="F179" s="14" t="s">
        <v>1260</v>
      </c>
      <c r="G179" s="14" t="s">
        <v>1911</v>
      </c>
      <c r="H179" s="14" t="s">
        <v>758</v>
      </c>
      <c r="I179" s="14"/>
      <c r="J179" s="16" t="s">
        <v>51</v>
      </c>
      <c r="K179" s="14"/>
    </row>
    <row r="180" spans="1:11" ht="27.75" customHeight="1">
      <c r="A180" s="17" t="s">
        <v>1912</v>
      </c>
      <c r="B180" s="18" t="s">
        <v>1222</v>
      </c>
      <c r="C180" s="18" t="s">
        <v>1263</v>
      </c>
      <c r="D180" s="19" t="s">
        <v>44</v>
      </c>
      <c r="E180" s="17" t="s">
        <v>46</v>
      </c>
      <c r="F180" s="18" t="s">
        <v>1264</v>
      </c>
      <c r="G180" s="18" t="s">
        <v>1265</v>
      </c>
      <c r="H180" s="18" t="s">
        <v>1266</v>
      </c>
      <c r="I180" s="18"/>
      <c r="J180" s="16" t="s">
        <v>51</v>
      </c>
      <c r="K180" s="18"/>
    </row>
    <row r="181" spans="1:11" ht="42" customHeight="1">
      <c r="A181" s="17" t="s">
        <v>1913</v>
      </c>
      <c r="B181" s="18" t="s">
        <v>1222</v>
      </c>
      <c r="C181" s="18" t="s">
        <v>1268</v>
      </c>
      <c r="D181" s="19" t="s">
        <v>44</v>
      </c>
      <c r="E181" s="17" t="s">
        <v>46</v>
      </c>
      <c r="F181" s="18" t="s">
        <v>1269</v>
      </c>
      <c r="G181" s="18" t="s">
        <v>1270</v>
      </c>
      <c r="H181" s="18" t="s">
        <v>1271</v>
      </c>
      <c r="I181" s="18"/>
      <c r="J181" s="16" t="s">
        <v>51</v>
      </c>
      <c r="K181" s="18"/>
    </row>
    <row r="182" spans="1:11" ht="55.5" customHeight="1">
      <c r="A182" s="13" t="s">
        <v>1914</v>
      </c>
      <c r="B182" s="14" t="s">
        <v>1222</v>
      </c>
      <c r="C182" s="14" t="s">
        <v>1078</v>
      </c>
      <c r="D182" s="15" t="s">
        <v>43</v>
      </c>
      <c r="E182" s="13" t="s">
        <v>46</v>
      </c>
      <c r="F182" s="14" t="s">
        <v>1079</v>
      </c>
      <c r="G182" s="14" t="s">
        <v>1915</v>
      </c>
      <c r="H182" s="14" t="s">
        <v>758</v>
      </c>
      <c r="I182" s="14"/>
      <c r="J182" s="16" t="s">
        <v>51</v>
      </c>
      <c r="K182" s="14"/>
    </row>
    <row r="183" spans="1:11" ht="27.75" customHeight="1">
      <c r="A183" s="17" t="s">
        <v>1916</v>
      </c>
      <c r="B183" s="18" t="s">
        <v>1222</v>
      </c>
      <c r="C183" s="18" t="s">
        <v>1082</v>
      </c>
      <c r="D183" s="19" t="s">
        <v>44</v>
      </c>
      <c r="E183" s="17" t="s">
        <v>46</v>
      </c>
      <c r="F183" s="18" t="s">
        <v>1083</v>
      </c>
      <c r="G183" s="18" t="s">
        <v>1084</v>
      </c>
      <c r="H183" s="18" t="s">
        <v>1085</v>
      </c>
      <c r="I183" s="18"/>
      <c r="J183" s="16" t="s">
        <v>51</v>
      </c>
      <c r="K183" s="18"/>
    </row>
    <row r="184" spans="1:11" ht="42" customHeight="1">
      <c r="A184" s="17" t="s">
        <v>1917</v>
      </c>
      <c r="B184" s="18" t="s">
        <v>1222</v>
      </c>
      <c r="C184" s="18" t="s">
        <v>1087</v>
      </c>
      <c r="D184" s="19" t="s">
        <v>44</v>
      </c>
      <c r="E184" s="17" t="s">
        <v>46</v>
      </c>
      <c r="F184" s="18" t="s">
        <v>1088</v>
      </c>
      <c r="G184" s="18" t="s">
        <v>1089</v>
      </c>
      <c r="H184" s="18" t="s">
        <v>1090</v>
      </c>
      <c r="I184" s="18"/>
      <c r="J184" s="16" t="s">
        <v>51</v>
      </c>
      <c r="K184" s="18" t="s">
        <v>631</v>
      </c>
    </row>
    <row r="185" spans="1:11" ht="55.5" customHeight="1">
      <c r="A185" s="17" t="s">
        <v>1918</v>
      </c>
      <c r="B185" s="18" t="s">
        <v>1222</v>
      </c>
      <c r="C185" s="18" t="s">
        <v>1092</v>
      </c>
      <c r="D185" s="19" t="s">
        <v>44</v>
      </c>
      <c r="E185" s="17" t="s">
        <v>47</v>
      </c>
      <c r="F185" s="18" t="s">
        <v>1093</v>
      </c>
      <c r="G185" s="18" t="s">
        <v>1094</v>
      </c>
      <c r="H185" s="18" t="s">
        <v>1095</v>
      </c>
      <c r="I185" s="18"/>
      <c r="J185" s="16" t="s">
        <v>51</v>
      </c>
      <c r="K185" s="18" t="s">
        <v>631</v>
      </c>
    </row>
    <row r="186" spans="1:11" ht="42" customHeight="1">
      <c r="A186" s="13" t="s">
        <v>1919</v>
      </c>
      <c r="B186" s="14" t="s">
        <v>1222</v>
      </c>
      <c r="C186" s="14" t="s">
        <v>1097</v>
      </c>
      <c r="D186" s="15" t="s">
        <v>43</v>
      </c>
      <c r="E186" s="13" t="s">
        <v>46</v>
      </c>
      <c r="F186" s="14" t="s">
        <v>1098</v>
      </c>
      <c r="G186" s="14" t="s">
        <v>1864</v>
      </c>
      <c r="H186" s="14" t="s">
        <v>743</v>
      </c>
      <c r="I186" s="14"/>
      <c r="J186" s="16" t="s">
        <v>51</v>
      </c>
      <c r="K186" s="14"/>
    </row>
    <row r="187" spans="1:11" ht="42" customHeight="1">
      <c r="A187" s="17" t="s">
        <v>1920</v>
      </c>
      <c r="B187" s="18" t="s">
        <v>1222</v>
      </c>
      <c r="C187" s="18" t="s">
        <v>1101</v>
      </c>
      <c r="D187" s="19" t="s">
        <v>44</v>
      </c>
      <c r="E187" s="17" t="s">
        <v>46</v>
      </c>
      <c r="F187" s="18" t="s">
        <v>1102</v>
      </c>
      <c r="G187" s="18" t="s">
        <v>1103</v>
      </c>
      <c r="H187" s="18" t="s">
        <v>1104</v>
      </c>
      <c r="I187" s="18"/>
      <c r="J187" s="16" t="s">
        <v>51</v>
      </c>
      <c r="K187" s="18"/>
    </row>
    <row r="188" spans="1:11" ht="42" customHeight="1">
      <c r="A188" s="13" t="s">
        <v>1921</v>
      </c>
      <c r="B188" s="14" t="s">
        <v>1222</v>
      </c>
      <c r="C188" s="14" t="s">
        <v>1106</v>
      </c>
      <c r="D188" s="15" t="s">
        <v>43</v>
      </c>
      <c r="E188" s="13" t="s">
        <v>47</v>
      </c>
      <c r="F188" s="14" t="s">
        <v>1107</v>
      </c>
      <c r="G188" s="14" t="s">
        <v>1108</v>
      </c>
      <c r="H188" s="14" t="s">
        <v>753</v>
      </c>
      <c r="I188" s="14"/>
      <c r="J188" s="16" t="s">
        <v>51</v>
      </c>
      <c r="K188" s="14" t="s">
        <v>631</v>
      </c>
    </row>
    <row r="189" spans="1:11" ht="42" customHeight="1">
      <c r="A189" s="13" t="s">
        <v>1922</v>
      </c>
      <c r="B189" s="14" t="s">
        <v>1222</v>
      </c>
      <c r="C189" s="14" t="s">
        <v>1110</v>
      </c>
      <c r="D189" s="15" t="s">
        <v>43</v>
      </c>
      <c r="E189" s="13" t="s">
        <v>46</v>
      </c>
      <c r="F189" s="14" t="s">
        <v>1111</v>
      </c>
      <c r="G189" s="14" t="s">
        <v>1112</v>
      </c>
      <c r="H189" s="14" t="s">
        <v>743</v>
      </c>
      <c r="I189" s="14"/>
      <c r="J189" s="16" t="s">
        <v>51</v>
      </c>
      <c r="K189" s="14"/>
    </row>
    <row r="190" spans="1:11" ht="42" customHeight="1">
      <c r="A190" s="17" t="s">
        <v>1923</v>
      </c>
      <c r="B190" s="18" t="s">
        <v>1222</v>
      </c>
      <c r="C190" s="18" t="s">
        <v>1114</v>
      </c>
      <c r="D190" s="19" t="s">
        <v>44</v>
      </c>
      <c r="E190" s="17" t="s">
        <v>46</v>
      </c>
      <c r="F190" s="18" t="s">
        <v>1115</v>
      </c>
      <c r="G190" s="18" t="s">
        <v>1116</v>
      </c>
      <c r="H190" s="18" t="s">
        <v>1117</v>
      </c>
      <c r="I190" s="18"/>
      <c r="J190" s="16" t="s">
        <v>51</v>
      </c>
      <c r="K190" s="18"/>
    </row>
    <row r="191" spans="1:11" ht="42" customHeight="1">
      <c r="A191" s="13" t="s">
        <v>1924</v>
      </c>
      <c r="B191" s="14" t="s">
        <v>1222</v>
      </c>
      <c r="C191" s="14" t="s">
        <v>1119</v>
      </c>
      <c r="D191" s="15" t="s">
        <v>43</v>
      </c>
      <c r="E191" s="13" t="s">
        <v>47</v>
      </c>
      <c r="F191" s="14" t="s">
        <v>1120</v>
      </c>
      <c r="G191" s="14" t="s">
        <v>1121</v>
      </c>
      <c r="H191" s="14" t="s">
        <v>753</v>
      </c>
      <c r="I191" s="14"/>
      <c r="J191" s="16" t="s">
        <v>51</v>
      </c>
      <c r="K191" s="14" t="s">
        <v>631</v>
      </c>
    </row>
    <row r="192" spans="1:11" ht="42" customHeight="1">
      <c r="A192" s="13" t="s">
        <v>1925</v>
      </c>
      <c r="B192" s="14" t="s">
        <v>1222</v>
      </c>
      <c r="C192" s="14" t="s">
        <v>1141</v>
      </c>
      <c r="D192" s="15" t="s">
        <v>43</v>
      </c>
      <c r="E192" s="13" t="s">
        <v>46</v>
      </c>
      <c r="F192" s="14" t="s">
        <v>1142</v>
      </c>
      <c r="G192" s="14" t="s">
        <v>1284</v>
      </c>
      <c r="H192" s="14" t="s">
        <v>743</v>
      </c>
      <c r="I192" s="14"/>
      <c r="J192" s="16" t="s">
        <v>51</v>
      </c>
      <c r="K192" s="14"/>
    </row>
    <row r="193" spans="1:11" ht="42" customHeight="1">
      <c r="A193" s="17" t="s">
        <v>1926</v>
      </c>
      <c r="B193" s="18" t="s">
        <v>1222</v>
      </c>
      <c r="C193" s="18" t="s">
        <v>1145</v>
      </c>
      <c r="D193" s="19" t="s">
        <v>44</v>
      </c>
      <c r="E193" s="17" t="s">
        <v>46</v>
      </c>
      <c r="F193" s="18" t="s">
        <v>1146</v>
      </c>
      <c r="G193" s="18" t="s">
        <v>1147</v>
      </c>
      <c r="H193" s="18" t="s">
        <v>1148</v>
      </c>
      <c r="I193" s="18"/>
      <c r="J193" s="16" t="s">
        <v>51</v>
      </c>
      <c r="K193" s="18"/>
    </row>
    <row r="194" spans="1:11" ht="42" customHeight="1">
      <c r="A194" s="13" t="s">
        <v>1927</v>
      </c>
      <c r="B194" s="14" t="s">
        <v>1222</v>
      </c>
      <c r="C194" s="14" t="s">
        <v>1150</v>
      </c>
      <c r="D194" s="15" t="s">
        <v>43</v>
      </c>
      <c r="E194" s="13" t="s">
        <v>47</v>
      </c>
      <c r="F194" s="14" t="s">
        <v>1151</v>
      </c>
      <c r="G194" s="14" t="s">
        <v>1152</v>
      </c>
      <c r="H194" s="14" t="s">
        <v>753</v>
      </c>
      <c r="I194" s="14"/>
      <c r="J194" s="16" t="s">
        <v>51</v>
      </c>
      <c r="K194" s="14" t="s">
        <v>631</v>
      </c>
    </row>
    <row r="195" spans="1:11" ht="69.75" customHeight="1">
      <c r="A195" s="13" t="s">
        <v>1928</v>
      </c>
      <c r="B195" s="14" t="s">
        <v>1222</v>
      </c>
      <c r="C195" s="14" t="s">
        <v>1154</v>
      </c>
      <c r="D195" s="15" t="s">
        <v>43</v>
      </c>
      <c r="E195" s="13" t="s">
        <v>46</v>
      </c>
      <c r="F195" s="14" t="s">
        <v>1155</v>
      </c>
      <c r="G195" s="14" t="s">
        <v>1929</v>
      </c>
      <c r="H195" s="14" t="s">
        <v>1157</v>
      </c>
      <c r="I195" s="14"/>
      <c r="J195" s="16" t="s">
        <v>51</v>
      </c>
      <c r="K195" s="14"/>
    </row>
    <row r="196" spans="1:11" ht="27.75" customHeight="1">
      <c r="A196" s="17" t="s">
        <v>1930</v>
      </c>
      <c r="B196" s="18" t="s">
        <v>1222</v>
      </c>
      <c r="C196" s="18" t="s">
        <v>1159</v>
      </c>
      <c r="D196" s="19" t="s">
        <v>44</v>
      </c>
      <c r="E196" s="17" t="s">
        <v>46</v>
      </c>
      <c r="F196" s="18" t="s">
        <v>1160</v>
      </c>
      <c r="G196" s="18" t="s">
        <v>1161</v>
      </c>
      <c r="H196" s="18" t="s">
        <v>1162</v>
      </c>
      <c r="I196" s="18"/>
      <c r="J196" s="16" t="s">
        <v>51</v>
      </c>
      <c r="K196" s="18"/>
    </row>
    <row r="197" spans="1:11" ht="55.5" customHeight="1">
      <c r="A197" s="17" t="s">
        <v>1931</v>
      </c>
      <c r="B197" s="18" t="s">
        <v>1222</v>
      </c>
      <c r="C197" s="18" t="s">
        <v>1164</v>
      </c>
      <c r="D197" s="19" t="s">
        <v>44</v>
      </c>
      <c r="E197" s="17" t="s">
        <v>46</v>
      </c>
      <c r="F197" s="18" t="s">
        <v>1291</v>
      </c>
      <c r="G197" s="18" t="s">
        <v>1292</v>
      </c>
      <c r="H197" s="18" t="s">
        <v>1167</v>
      </c>
      <c r="I197" s="18"/>
      <c r="J197" s="16" t="s">
        <v>51</v>
      </c>
      <c r="K197" s="18" t="s">
        <v>631</v>
      </c>
    </row>
    <row r="198" spans="1:11" ht="42" customHeight="1">
      <c r="A198" s="17" t="s">
        <v>1932</v>
      </c>
      <c r="B198" s="18" t="s">
        <v>1222</v>
      </c>
      <c r="C198" s="18" t="s">
        <v>1169</v>
      </c>
      <c r="D198" s="19" t="s">
        <v>44</v>
      </c>
      <c r="E198" s="17" t="s">
        <v>47</v>
      </c>
      <c r="F198" s="18" t="s">
        <v>1170</v>
      </c>
      <c r="G198" s="18" t="s">
        <v>1171</v>
      </c>
      <c r="H198" s="18" t="s">
        <v>651</v>
      </c>
      <c r="I198" s="18"/>
      <c r="J198" s="16" t="s">
        <v>51</v>
      </c>
      <c r="K198" s="18" t="s">
        <v>631</v>
      </c>
    </row>
    <row r="199" spans="1:11" ht="55.5" customHeight="1">
      <c r="A199" s="13" t="s">
        <v>1933</v>
      </c>
      <c r="B199" s="14" t="s">
        <v>1222</v>
      </c>
      <c r="C199" s="14" t="s">
        <v>1295</v>
      </c>
      <c r="D199" s="15" t="s">
        <v>43</v>
      </c>
      <c r="E199" s="13" t="s">
        <v>46</v>
      </c>
      <c r="F199" s="14" t="s">
        <v>1296</v>
      </c>
      <c r="G199" s="14" t="s">
        <v>109</v>
      </c>
      <c r="H199" s="14" t="s">
        <v>1934</v>
      </c>
      <c r="I199" s="14"/>
      <c r="J199" s="16" t="s">
        <v>51</v>
      </c>
      <c r="K199" s="14" t="s">
        <v>1298</v>
      </c>
    </row>
    <row r="200" spans="1:11" ht="42" customHeight="1">
      <c r="A200" s="13" t="s">
        <v>1935</v>
      </c>
      <c r="B200" s="14" t="s">
        <v>1471</v>
      </c>
      <c r="C200" s="14" t="s">
        <v>1472</v>
      </c>
      <c r="D200" s="15" t="s">
        <v>43</v>
      </c>
      <c r="E200" s="13" t="s">
        <v>46</v>
      </c>
      <c r="F200" s="14" t="s">
        <v>1473</v>
      </c>
      <c r="G200" s="14" t="s">
        <v>1936</v>
      </c>
      <c r="H200" s="14" t="s">
        <v>743</v>
      </c>
      <c r="I200" s="14"/>
      <c r="J200" s="16" t="s">
        <v>51</v>
      </c>
      <c r="K200" s="14"/>
    </row>
    <row r="201" spans="1:11" ht="42" customHeight="1">
      <c r="A201" s="17" t="s">
        <v>1937</v>
      </c>
      <c r="B201" s="18" t="s">
        <v>1471</v>
      </c>
      <c r="C201" s="18" t="s">
        <v>1476</v>
      </c>
      <c r="D201" s="19" t="s">
        <v>44</v>
      </c>
      <c r="E201" s="17" t="s">
        <v>46</v>
      </c>
      <c r="F201" s="18" t="s">
        <v>1477</v>
      </c>
      <c r="G201" s="18" t="s">
        <v>1478</v>
      </c>
      <c r="H201" s="18" t="s">
        <v>1479</v>
      </c>
      <c r="I201" s="18"/>
      <c r="J201" s="16" t="s">
        <v>51</v>
      </c>
      <c r="K201" s="18"/>
    </row>
    <row r="202" spans="1:11" ht="42" customHeight="1">
      <c r="A202" s="13" t="s">
        <v>1938</v>
      </c>
      <c r="B202" s="14" t="s">
        <v>1471</v>
      </c>
      <c r="C202" s="14" t="s">
        <v>1481</v>
      </c>
      <c r="D202" s="15" t="s">
        <v>43</v>
      </c>
      <c r="E202" s="13" t="s">
        <v>47</v>
      </c>
      <c r="F202" s="14" t="s">
        <v>1482</v>
      </c>
      <c r="G202" s="14" t="s">
        <v>1483</v>
      </c>
      <c r="H202" s="14" t="s">
        <v>753</v>
      </c>
      <c r="I202" s="14"/>
      <c r="J202" s="16" t="s">
        <v>51</v>
      </c>
      <c r="K202" s="14" t="s">
        <v>631</v>
      </c>
    </row>
    <row r="203" spans="1:11" ht="42" customHeight="1">
      <c r="A203" s="13" t="s">
        <v>1939</v>
      </c>
      <c r="B203" s="14" t="s">
        <v>1471</v>
      </c>
      <c r="C203" s="14" t="s">
        <v>1485</v>
      </c>
      <c r="D203" s="15" t="s">
        <v>43</v>
      </c>
      <c r="E203" s="13" t="s">
        <v>46</v>
      </c>
      <c r="F203" s="14" t="s">
        <v>756</v>
      </c>
      <c r="G203" s="14" t="s">
        <v>1940</v>
      </c>
      <c r="H203" s="14" t="s">
        <v>758</v>
      </c>
      <c r="I203" s="14"/>
      <c r="J203" s="16" t="s">
        <v>51</v>
      </c>
      <c r="K203" s="14"/>
    </row>
    <row r="204" spans="1:11" ht="27.75" customHeight="1">
      <c r="A204" s="17" t="s">
        <v>1941</v>
      </c>
      <c r="B204" s="18" t="s">
        <v>1471</v>
      </c>
      <c r="C204" s="18" t="s">
        <v>1488</v>
      </c>
      <c r="D204" s="19" t="s">
        <v>44</v>
      </c>
      <c r="E204" s="17" t="s">
        <v>46</v>
      </c>
      <c r="F204" s="18" t="s">
        <v>1489</v>
      </c>
      <c r="G204" s="18" t="s">
        <v>1490</v>
      </c>
      <c r="H204" s="18" t="s">
        <v>1491</v>
      </c>
      <c r="I204" s="18"/>
      <c r="J204" s="16" t="s">
        <v>51</v>
      </c>
      <c r="K204" s="18"/>
    </row>
    <row r="205" spans="1:11" ht="42" customHeight="1">
      <c r="A205" s="17" t="s">
        <v>1942</v>
      </c>
      <c r="B205" s="18" t="s">
        <v>1471</v>
      </c>
      <c r="C205" s="18" t="s">
        <v>1493</v>
      </c>
      <c r="D205" s="19" t="s">
        <v>44</v>
      </c>
      <c r="E205" s="17" t="s">
        <v>46</v>
      </c>
      <c r="F205" s="18" t="s">
        <v>766</v>
      </c>
      <c r="G205" s="18" t="s">
        <v>1494</v>
      </c>
      <c r="H205" s="18" t="s">
        <v>768</v>
      </c>
      <c r="I205" s="18"/>
      <c r="J205" s="16" t="s">
        <v>51</v>
      </c>
      <c r="K205" s="18"/>
    </row>
    <row r="206" spans="1:11" ht="69.75" customHeight="1">
      <c r="A206" s="13" t="s">
        <v>1943</v>
      </c>
      <c r="B206" s="14" t="s">
        <v>1471</v>
      </c>
      <c r="C206" s="14" t="s">
        <v>1496</v>
      </c>
      <c r="D206" s="15" t="s">
        <v>43</v>
      </c>
      <c r="E206" s="13" t="s">
        <v>46</v>
      </c>
      <c r="F206" s="14" t="s">
        <v>1497</v>
      </c>
      <c r="G206" s="14" t="s">
        <v>1944</v>
      </c>
      <c r="H206" s="14" t="s">
        <v>1499</v>
      </c>
      <c r="I206" s="14"/>
      <c r="J206" s="16" t="s">
        <v>51</v>
      </c>
      <c r="K206" s="14" t="s">
        <v>631</v>
      </c>
    </row>
    <row r="207" spans="1:11" ht="69.75" customHeight="1">
      <c r="A207" s="13" t="s">
        <v>1945</v>
      </c>
      <c r="B207" s="14" t="s">
        <v>1471</v>
      </c>
      <c r="C207" s="14" t="s">
        <v>1501</v>
      </c>
      <c r="D207" s="15" t="s">
        <v>43</v>
      </c>
      <c r="E207" s="13" t="s">
        <v>46</v>
      </c>
      <c r="F207" s="14" t="s">
        <v>1502</v>
      </c>
      <c r="G207" s="14" t="s">
        <v>1946</v>
      </c>
      <c r="H207" s="14" t="s">
        <v>1504</v>
      </c>
      <c r="I207" s="14"/>
      <c r="J207" s="16" t="s">
        <v>51</v>
      </c>
      <c r="K207" s="14"/>
    </row>
    <row r="208" spans="1:11" ht="27.75" customHeight="1">
      <c r="A208" s="17" t="s">
        <v>1947</v>
      </c>
      <c r="B208" s="18" t="s">
        <v>1471</v>
      </c>
      <c r="C208" s="18" t="s">
        <v>1506</v>
      </c>
      <c r="D208" s="19" t="s">
        <v>44</v>
      </c>
      <c r="E208" s="17" t="s">
        <v>46</v>
      </c>
      <c r="F208" s="18" t="s">
        <v>1507</v>
      </c>
      <c r="G208" s="18" t="s">
        <v>1508</v>
      </c>
      <c r="H208" s="18" t="s">
        <v>1509</v>
      </c>
      <c r="I208" s="18"/>
      <c r="J208" s="16" t="s">
        <v>51</v>
      </c>
      <c r="K208" s="18"/>
    </row>
    <row r="209" spans="1:11" ht="55.5" customHeight="1">
      <c r="A209" s="17" t="s">
        <v>1948</v>
      </c>
      <c r="B209" s="18" t="s">
        <v>1471</v>
      </c>
      <c r="C209" s="18" t="s">
        <v>1511</v>
      </c>
      <c r="D209" s="19" t="s">
        <v>44</v>
      </c>
      <c r="E209" s="17" t="s">
        <v>46</v>
      </c>
      <c r="F209" s="18" t="s">
        <v>1512</v>
      </c>
      <c r="G209" s="18" t="s">
        <v>1513</v>
      </c>
      <c r="H209" s="18" t="s">
        <v>1514</v>
      </c>
      <c r="I209" s="18"/>
      <c r="J209" s="16" t="s">
        <v>51</v>
      </c>
      <c r="K209" s="18" t="s">
        <v>631</v>
      </c>
    </row>
    <row r="210" spans="1:11" ht="55.5" customHeight="1">
      <c r="A210" s="17" t="s">
        <v>1949</v>
      </c>
      <c r="B210" s="18" t="s">
        <v>1471</v>
      </c>
      <c r="C210" s="18" t="s">
        <v>1516</v>
      </c>
      <c r="D210" s="19" t="s">
        <v>44</v>
      </c>
      <c r="E210" s="17" t="s">
        <v>47</v>
      </c>
      <c r="F210" s="18" t="s">
        <v>1517</v>
      </c>
      <c r="G210" s="18" t="s">
        <v>1518</v>
      </c>
      <c r="H210" s="18" t="s">
        <v>651</v>
      </c>
      <c r="I210" s="18"/>
      <c r="J210" s="16" t="s">
        <v>51</v>
      </c>
      <c r="K210" s="18" t="s">
        <v>631</v>
      </c>
    </row>
    <row r="211" spans="1:11" ht="84" customHeight="1">
      <c r="A211" s="13" t="s">
        <v>1950</v>
      </c>
      <c r="B211" s="14" t="s">
        <v>1471</v>
      </c>
      <c r="C211" s="14" t="s">
        <v>1520</v>
      </c>
      <c r="D211" s="15" t="s">
        <v>43</v>
      </c>
      <c r="E211" s="13" t="s">
        <v>45</v>
      </c>
      <c r="F211" s="14" t="s">
        <v>1521</v>
      </c>
      <c r="G211" s="14" t="s">
        <v>1951</v>
      </c>
      <c r="H211" s="14" t="s">
        <v>966</v>
      </c>
      <c r="I211" s="14"/>
      <c r="J211" s="16" t="s">
        <v>51</v>
      </c>
      <c r="K211" s="14"/>
    </row>
    <row r="212" spans="1:11" ht="27.75" customHeight="1">
      <c r="A212" s="17" t="s">
        <v>1952</v>
      </c>
      <c r="B212" s="18" t="s">
        <v>1471</v>
      </c>
      <c r="C212" s="18" t="s">
        <v>1524</v>
      </c>
      <c r="D212" s="19" t="s">
        <v>44</v>
      </c>
      <c r="E212" s="17" t="s">
        <v>45</v>
      </c>
      <c r="F212" s="18" t="s">
        <v>1525</v>
      </c>
      <c r="G212" s="18" t="s">
        <v>1526</v>
      </c>
      <c r="H212" s="18" t="s">
        <v>1527</v>
      </c>
      <c r="I212" s="18"/>
      <c r="J212" s="16" t="s">
        <v>51</v>
      </c>
      <c r="K212" s="18"/>
    </row>
    <row r="213" spans="1:11" ht="55.5" customHeight="1">
      <c r="A213" s="17" t="s">
        <v>1953</v>
      </c>
      <c r="B213" s="18" t="s">
        <v>1471</v>
      </c>
      <c r="C213" s="18" t="s">
        <v>1529</v>
      </c>
      <c r="D213" s="19" t="s">
        <v>44</v>
      </c>
      <c r="E213" s="17" t="s">
        <v>45</v>
      </c>
      <c r="F213" s="18" t="s">
        <v>1530</v>
      </c>
      <c r="G213" s="18" t="s">
        <v>1005</v>
      </c>
      <c r="H213" s="18" t="s">
        <v>976</v>
      </c>
      <c r="I213" s="18"/>
      <c r="J213" s="16" t="s">
        <v>51</v>
      </c>
      <c r="K213" s="18"/>
    </row>
    <row r="214" spans="1:11" ht="42" customHeight="1">
      <c r="A214" s="17" t="s">
        <v>1954</v>
      </c>
      <c r="B214" s="18" t="s">
        <v>1471</v>
      </c>
      <c r="C214" s="18" t="s">
        <v>1532</v>
      </c>
      <c r="D214" s="19" t="s">
        <v>44</v>
      </c>
      <c r="E214" s="17" t="s">
        <v>46</v>
      </c>
      <c r="F214" s="18" t="s">
        <v>1533</v>
      </c>
      <c r="G214" s="18" t="s">
        <v>980</v>
      </c>
      <c r="H214" s="18" t="s">
        <v>1534</v>
      </c>
      <c r="I214" s="18"/>
      <c r="J214" s="16" t="s">
        <v>51</v>
      </c>
      <c r="K214" s="18"/>
    </row>
    <row r="215" spans="1:11" ht="27.75" customHeight="1">
      <c r="A215" s="17" t="s">
        <v>1955</v>
      </c>
      <c r="B215" s="18" t="s">
        <v>1471</v>
      </c>
      <c r="C215" s="18" t="s">
        <v>1536</v>
      </c>
      <c r="D215" s="19" t="s">
        <v>44</v>
      </c>
      <c r="E215" s="17" t="s">
        <v>46</v>
      </c>
      <c r="F215" s="18" t="s">
        <v>1537</v>
      </c>
      <c r="G215" s="18" t="s">
        <v>1956</v>
      </c>
      <c r="H215" s="18" t="s">
        <v>986</v>
      </c>
      <c r="I215" s="18"/>
      <c r="J215" s="16" t="s">
        <v>51</v>
      </c>
      <c r="K215" s="18"/>
    </row>
    <row r="216" spans="1:11" ht="42" customHeight="1">
      <c r="A216" s="17" t="s">
        <v>1957</v>
      </c>
      <c r="B216" s="18" t="s">
        <v>1471</v>
      </c>
      <c r="C216" s="18" t="s">
        <v>1540</v>
      </c>
      <c r="D216" s="19" t="s">
        <v>44</v>
      </c>
      <c r="E216" s="17" t="s">
        <v>46</v>
      </c>
      <c r="F216" s="18" t="s">
        <v>1541</v>
      </c>
      <c r="G216" s="18" t="s">
        <v>1958</v>
      </c>
      <c r="H216" s="18" t="s">
        <v>991</v>
      </c>
      <c r="I216" s="18"/>
      <c r="J216" s="16" t="s">
        <v>51</v>
      </c>
      <c r="K216" s="18"/>
    </row>
    <row r="217" spans="1:11" ht="42" customHeight="1">
      <c r="A217" s="13" t="s">
        <v>1959</v>
      </c>
      <c r="B217" s="14" t="s">
        <v>1471</v>
      </c>
      <c r="C217" s="14" t="s">
        <v>1544</v>
      </c>
      <c r="D217" s="15" t="s">
        <v>43</v>
      </c>
      <c r="E217" s="13" t="s">
        <v>46</v>
      </c>
      <c r="F217" s="14" t="s">
        <v>1960</v>
      </c>
      <c r="G217" s="14" t="s">
        <v>1961</v>
      </c>
      <c r="H217" s="14" t="s">
        <v>1547</v>
      </c>
      <c r="I217" s="14"/>
      <c r="J217" s="16" t="s">
        <v>51</v>
      </c>
      <c r="K217" s="14"/>
    </row>
    <row r="218" spans="1:11" ht="69.75" customHeight="1">
      <c r="A218" s="13" t="s">
        <v>1962</v>
      </c>
      <c r="B218" s="14" t="s">
        <v>1549</v>
      </c>
      <c r="C218" s="14" t="s">
        <v>1550</v>
      </c>
      <c r="D218" s="15" t="s">
        <v>43</v>
      </c>
      <c r="E218" s="13" t="s">
        <v>45</v>
      </c>
      <c r="F218" s="14" t="s">
        <v>1551</v>
      </c>
      <c r="G218" s="14" t="s">
        <v>1963</v>
      </c>
      <c r="H218" s="14" t="s">
        <v>966</v>
      </c>
      <c r="I218" s="14"/>
      <c r="J218" s="16" t="s">
        <v>51</v>
      </c>
      <c r="K218" s="14" t="s">
        <v>631</v>
      </c>
    </row>
    <row r="219" spans="1:11" ht="55.5" customHeight="1">
      <c r="A219" s="17" t="s">
        <v>1964</v>
      </c>
      <c r="B219" s="18" t="s">
        <v>1549</v>
      </c>
      <c r="C219" s="18" t="s">
        <v>1554</v>
      </c>
      <c r="D219" s="19" t="s">
        <v>44</v>
      </c>
      <c r="E219" s="17" t="s">
        <v>45</v>
      </c>
      <c r="F219" s="18" t="s">
        <v>1555</v>
      </c>
      <c r="G219" s="18" t="s">
        <v>1005</v>
      </c>
      <c r="H219" s="18" t="s">
        <v>976</v>
      </c>
      <c r="I219" s="18"/>
      <c r="J219" s="16" t="s">
        <v>51</v>
      </c>
      <c r="K219" s="18"/>
    </row>
    <row r="220" spans="1:11" ht="55.5" customHeight="1">
      <c r="A220" s="17" t="s">
        <v>1965</v>
      </c>
      <c r="B220" s="18" t="s">
        <v>1549</v>
      </c>
      <c r="C220" s="18" t="s">
        <v>1557</v>
      </c>
      <c r="D220" s="19" t="s">
        <v>44</v>
      </c>
      <c r="E220" s="17" t="s">
        <v>46</v>
      </c>
      <c r="F220" s="18" t="s">
        <v>1558</v>
      </c>
      <c r="G220" s="18" t="s">
        <v>980</v>
      </c>
      <c r="H220" s="18" t="s">
        <v>1559</v>
      </c>
      <c r="I220" s="18"/>
      <c r="J220" s="16" t="s">
        <v>51</v>
      </c>
      <c r="K220" s="18"/>
    </row>
    <row r="221" spans="1:11" ht="42" customHeight="1">
      <c r="A221" s="17" t="s">
        <v>1966</v>
      </c>
      <c r="B221" s="18" t="s">
        <v>1549</v>
      </c>
      <c r="C221" s="18" t="s">
        <v>1561</v>
      </c>
      <c r="D221" s="19" t="s">
        <v>44</v>
      </c>
      <c r="E221" s="17" t="s">
        <v>46</v>
      </c>
      <c r="F221" s="18" t="s">
        <v>1562</v>
      </c>
      <c r="G221" s="18" t="s">
        <v>1967</v>
      </c>
      <c r="H221" s="18" t="s">
        <v>986</v>
      </c>
      <c r="I221" s="18"/>
      <c r="J221" s="16" t="s">
        <v>51</v>
      </c>
      <c r="K221" s="18"/>
    </row>
    <row r="222" spans="1:11" ht="42" customHeight="1">
      <c r="A222" s="17" t="s">
        <v>1968</v>
      </c>
      <c r="B222" s="18" t="s">
        <v>1549</v>
      </c>
      <c r="C222" s="18" t="s">
        <v>1565</v>
      </c>
      <c r="D222" s="19" t="s">
        <v>44</v>
      </c>
      <c r="E222" s="17" t="s">
        <v>46</v>
      </c>
      <c r="F222" s="18" t="s">
        <v>1566</v>
      </c>
      <c r="G222" s="18" t="s">
        <v>1969</v>
      </c>
      <c r="H222" s="18" t="s">
        <v>991</v>
      </c>
      <c r="I222" s="18"/>
      <c r="J222" s="16" t="s">
        <v>51</v>
      </c>
      <c r="K222" s="18"/>
    </row>
    <row r="223" spans="1:11" ht="69.75" customHeight="1">
      <c r="A223" s="13" t="s">
        <v>1970</v>
      </c>
      <c r="B223" s="14" t="s">
        <v>1549</v>
      </c>
      <c r="C223" s="14" t="s">
        <v>1569</v>
      </c>
      <c r="D223" s="15" t="s">
        <v>43</v>
      </c>
      <c r="E223" s="13" t="s">
        <v>45</v>
      </c>
      <c r="F223" s="14" t="s">
        <v>1570</v>
      </c>
      <c r="G223" s="14" t="s">
        <v>1971</v>
      </c>
      <c r="H223" s="14" t="s">
        <v>966</v>
      </c>
      <c r="I223" s="14"/>
      <c r="J223" s="16" t="s">
        <v>51</v>
      </c>
      <c r="K223" s="14" t="s">
        <v>631</v>
      </c>
    </row>
    <row r="224" spans="1:11" ht="55.5" customHeight="1">
      <c r="A224" s="17" t="s">
        <v>1972</v>
      </c>
      <c r="B224" s="18" t="s">
        <v>1549</v>
      </c>
      <c r="C224" s="18" t="s">
        <v>1573</v>
      </c>
      <c r="D224" s="19" t="s">
        <v>44</v>
      </c>
      <c r="E224" s="17" t="s">
        <v>45</v>
      </c>
      <c r="F224" s="18" t="s">
        <v>1574</v>
      </c>
      <c r="G224" s="18" t="s">
        <v>1575</v>
      </c>
      <c r="H224" s="18" t="s">
        <v>976</v>
      </c>
      <c r="I224" s="18"/>
      <c r="J224" s="16" t="s">
        <v>51</v>
      </c>
      <c r="K224" s="18"/>
    </row>
    <row r="225" spans="1:11" ht="55.5" customHeight="1">
      <c r="A225" s="17" t="s">
        <v>1973</v>
      </c>
      <c r="B225" s="18" t="s">
        <v>1549</v>
      </c>
      <c r="C225" s="18" t="s">
        <v>1577</v>
      </c>
      <c r="D225" s="19" t="s">
        <v>44</v>
      </c>
      <c r="E225" s="17" t="s">
        <v>46</v>
      </c>
      <c r="F225" s="18" t="s">
        <v>1578</v>
      </c>
      <c r="G225" s="18" t="s">
        <v>980</v>
      </c>
      <c r="H225" s="18" t="s">
        <v>1579</v>
      </c>
      <c r="I225" s="18"/>
      <c r="J225" s="16" t="s">
        <v>51</v>
      </c>
      <c r="K225" s="18"/>
    </row>
    <row r="226" spans="1:11" ht="42" customHeight="1">
      <c r="A226" s="17" t="s">
        <v>1974</v>
      </c>
      <c r="B226" s="18" t="s">
        <v>1549</v>
      </c>
      <c r="C226" s="18" t="s">
        <v>1581</v>
      </c>
      <c r="D226" s="19" t="s">
        <v>44</v>
      </c>
      <c r="E226" s="17" t="s">
        <v>46</v>
      </c>
      <c r="F226" s="18" t="s">
        <v>1582</v>
      </c>
      <c r="G226" s="18" t="s">
        <v>1975</v>
      </c>
      <c r="H226" s="18" t="s">
        <v>986</v>
      </c>
      <c r="I226" s="18"/>
      <c r="J226" s="16" t="s">
        <v>51</v>
      </c>
      <c r="K226" s="18"/>
    </row>
    <row r="227" spans="1:11" ht="42" customHeight="1">
      <c r="A227" s="17" t="s">
        <v>1976</v>
      </c>
      <c r="B227" s="18" t="s">
        <v>1549</v>
      </c>
      <c r="C227" s="18" t="s">
        <v>1585</v>
      </c>
      <c r="D227" s="19" t="s">
        <v>44</v>
      </c>
      <c r="E227" s="17" t="s">
        <v>46</v>
      </c>
      <c r="F227" s="18" t="s">
        <v>1586</v>
      </c>
      <c r="G227" s="18" t="s">
        <v>1977</v>
      </c>
      <c r="H227" s="18" t="s">
        <v>991</v>
      </c>
      <c r="I227" s="18"/>
      <c r="J227" s="16" t="s">
        <v>51</v>
      </c>
      <c r="K227" s="18"/>
    </row>
    <row r="228" spans="1:11" ht="55.5" customHeight="1">
      <c r="A228" s="17" t="s">
        <v>1978</v>
      </c>
      <c r="B228" s="18" t="s">
        <v>1549</v>
      </c>
      <c r="C228" s="18" t="s">
        <v>1589</v>
      </c>
      <c r="D228" s="19" t="s">
        <v>44</v>
      </c>
      <c r="E228" s="17" t="s">
        <v>46</v>
      </c>
      <c r="F228" s="18" t="s">
        <v>1590</v>
      </c>
      <c r="G228" s="18" t="s">
        <v>1591</v>
      </c>
      <c r="H228" s="18" t="s">
        <v>1592</v>
      </c>
      <c r="I228" s="18"/>
      <c r="J228" s="16" t="s">
        <v>51</v>
      </c>
      <c r="K228" s="18"/>
    </row>
    <row r="229" spans="1:11" ht="55.5" customHeight="1">
      <c r="A229" s="13" t="s">
        <v>1979</v>
      </c>
      <c r="B229" s="14" t="s">
        <v>1594</v>
      </c>
      <c r="C229" s="14" t="s">
        <v>1595</v>
      </c>
      <c r="D229" s="15" t="s">
        <v>43</v>
      </c>
      <c r="E229" s="13" t="s">
        <v>45</v>
      </c>
      <c r="F229" s="14" t="s">
        <v>1596</v>
      </c>
      <c r="G229" s="14" t="s">
        <v>109</v>
      </c>
      <c r="H229" s="14" t="s">
        <v>1597</v>
      </c>
      <c r="I229" s="14"/>
      <c r="J229" s="16" t="s">
        <v>51</v>
      </c>
      <c r="K229" s="14"/>
    </row>
    <row r="230" spans="1:11" ht="42" customHeight="1">
      <c r="A230" s="17" t="s">
        <v>1980</v>
      </c>
      <c r="B230" s="18" t="s">
        <v>1594</v>
      </c>
      <c r="C230" s="18" t="s">
        <v>1599</v>
      </c>
      <c r="D230" s="19" t="s">
        <v>44</v>
      </c>
      <c r="E230" s="17" t="s">
        <v>45</v>
      </c>
      <c r="F230" s="18" t="s">
        <v>1600</v>
      </c>
      <c r="G230" s="18" t="s">
        <v>109</v>
      </c>
      <c r="H230" s="18" t="s">
        <v>1601</v>
      </c>
      <c r="I230" s="18"/>
      <c r="J230" s="16" t="s">
        <v>51</v>
      </c>
      <c r="K230" s="18"/>
    </row>
    <row r="231" spans="1:11" ht="27.75" customHeight="1">
      <c r="A231" s="13" t="s">
        <v>1981</v>
      </c>
      <c r="B231" s="14" t="s">
        <v>1594</v>
      </c>
      <c r="C231" s="14" t="s">
        <v>1603</v>
      </c>
      <c r="D231" s="15" t="s">
        <v>43</v>
      </c>
      <c r="E231" s="13" t="s">
        <v>46</v>
      </c>
      <c r="F231" s="14" t="s">
        <v>1604</v>
      </c>
      <c r="G231" s="14" t="s">
        <v>109</v>
      </c>
      <c r="H231" s="14" t="s">
        <v>1605</v>
      </c>
      <c r="I231" s="14"/>
      <c r="J231" s="16" t="s">
        <v>51</v>
      </c>
      <c r="K231" s="14"/>
    </row>
    <row r="232" spans="1:11" ht="42" customHeight="1">
      <c r="A232" s="17" t="s">
        <v>1982</v>
      </c>
      <c r="B232" s="18" t="s">
        <v>1594</v>
      </c>
      <c r="C232" s="18" t="s">
        <v>1607</v>
      </c>
      <c r="D232" s="19" t="s">
        <v>44</v>
      </c>
      <c r="E232" s="17" t="s">
        <v>46</v>
      </c>
      <c r="F232" s="18" t="s">
        <v>1608</v>
      </c>
      <c r="G232" s="18" t="s">
        <v>109</v>
      </c>
      <c r="H232" s="18" t="s">
        <v>1609</v>
      </c>
      <c r="I232" s="18"/>
      <c r="J232" s="16" t="s">
        <v>51</v>
      </c>
      <c r="K232" s="18"/>
    </row>
    <row r="233" spans="1:11" ht="55.5" customHeight="1">
      <c r="A233" s="13" t="s">
        <v>1983</v>
      </c>
      <c r="B233" s="14" t="s">
        <v>1594</v>
      </c>
      <c r="C233" s="14" t="s">
        <v>1984</v>
      </c>
      <c r="D233" s="15" t="s">
        <v>43</v>
      </c>
      <c r="E233" s="13" t="s">
        <v>47</v>
      </c>
      <c r="F233" s="14" t="s">
        <v>1985</v>
      </c>
      <c r="G233" s="14" t="s">
        <v>109</v>
      </c>
      <c r="H233" s="14" t="s">
        <v>1986</v>
      </c>
      <c r="I233" s="14"/>
      <c r="J233" s="16" t="s">
        <v>51</v>
      </c>
      <c r="K233" s="14" t="s">
        <v>631</v>
      </c>
    </row>
    <row r="234" spans="1:11" ht="69.75" customHeight="1">
      <c r="A234" s="13" t="s">
        <v>1987</v>
      </c>
      <c r="B234" s="14" t="s">
        <v>1611</v>
      </c>
      <c r="C234" s="14" t="s">
        <v>1612</v>
      </c>
      <c r="D234" s="15" t="s">
        <v>43</v>
      </c>
      <c r="E234" s="13" t="s">
        <v>45</v>
      </c>
      <c r="F234" s="14" t="s">
        <v>1613</v>
      </c>
      <c r="G234" s="14" t="s">
        <v>1614</v>
      </c>
      <c r="H234" s="14" t="s">
        <v>1615</v>
      </c>
      <c r="I234" s="14"/>
      <c r="J234" s="16" t="s">
        <v>51</v>
      </c>
      <c r="K234" s="14" t="s">
        <v>1616</v>
      </c>
    </row>
    <row r="235" spans="1:11" ht="42" customHeight="1">
      <c r="A235" s="17" t="s">
        <v>1988</v>
      </c>
      <c r="B235" s="18" t="s">
        <v>1611</v>
      </c>
      <c r="C235" s="18" t="s">
        <v>1618</v>
      </c>
      <c r="D235" s="19" t="s">
        <v>44</v>
      </c>
      <c r="E235" s="17" t="s">
        <v>45</v>
      </c>
      <c r="F235" s="18" t="s">
        <v>1619</v>
      </c>
      <c r="G235" s="18" t="s">
        <v>1620</v>
      </c>
      <c r="H235" s="18" t="s">
        <v>1621</v>
      </c>
      <c r="I235" s="18"/>
      <c r="J235" s="16" t="s">
        <v>51</v>
      </c>
      <c r="K235" s="18" t="s">
        <v>631</v>
      </c>
    </row>
    <row r="236" spans="1:11" ht="42" customHeight="1">
      <c r="A236" s="13" t="s">
        <v>1989</v>
      </c>
      <c r="B236" s="14" t="s">
        <v>1611</v>
      </c>
      <c r="C236" s="14" t="s">
        <v>1623</v>
      </c>
      <c r="D236" s="15" t="s">
        <v>43</v>
      </c>
      <c r="E236" s="13" t="s">
        <v>47</v>
      </c>
      <c r="F236" s="14" t="s">
        <v>1624</v>
      </c>
      <c r="G236" s="14" t="s">
        <v>109</v>
      </c>
      <c r="H236" s="14" t="s">
        <v>1625</v>
      </c>
      <c r="I236" s="14"/>
      <c r="J236" s="16" t="s">
        <v>51</v>
      </c>
      <c r="K236" s="14"/>
    </row>
    <row r="237" spans="1:11" ht="55.5" customHeight="1">
      <c r="A237" s="13" t="s">
        <v>1990</v>
      </c>
      <c r="B237" s="14" t="s">
        <v>1611</v>
      </c>
      <c r="C237" s="14" t="s">
        <v>1991</v>
      </c>
      <c r="D237" s="15" t="s">
        <v>43</v>
      </c>
      <c r="E237" s="13" t="s">
        <v>47</v>
      </c>
      <c r="F237" s="14" t="s">
        <v>1992</v>
      </c>
      <c r="G237" s="14" t="s">
        <v>109</v>
      </c>
      <c r="H237" s="14" t="s">
        <v>1993</v>
      </c>
      <c r="I237" s="14"/>
      <c r="J237" s="16" t="s">
        <v>51</v>
      </c>
      <c r="K237" s="14" t="s">
        <v>631</v>
      </c>
    </row>
    <row r="238" spans="1:11" ht="84" customHeight="1">
      <c r="A238" s="13" t="s">
        <v>1994</v>
      </c>
      <c r="B238" s="14" t="s">
        <v>1627</v>
      </c>
      <c r="C238" s="14" t="s">
        <v>1628</v>
      </c>
      <c r="D238" s="15" t="s">
        <v>43</v>
      </c>
      <c r="E238" s="13" t="s">
        <v>45</v>
      </c>
      <c r="F238" s="14" t="s">
        <v>1629</v>
      </c>
      <c r="G238" s="14" t="s">
        <v>1630</v>
      </c>
      <c r="H238" s="14" t="s">
        <v>1995</v>
      </c>
      <c r="I238" s="14"/>
      <c r="J238" s="16" t="s">
        <v>51</v>
      </c>
      <c r="K238" s="14"/>
    </row>
    <row r="239" spans="1:11" ht="55.5" customHeight="1">
      <c r="A239" s="13" t="s">
        <v>1996</v>
      </c>
      <c r="B239" s="14" t="s">
        <v>1627</v>
      </c>
      <c r="C239" s="14" t="s">
        <v>1633</v>
      </c>
      <c r="D239" s="15" t="s">
        <v>43</v>
      </c>
      <c r="E239" s="13" t="s">
        <v>46</v>
      </c>
      <c r="F239" s="14" t="s">
        <v>1997</v>
      </c>
      <c r="G239" s="14" t="s">
        <v>109</v>
      </c>
      <c r="H239" s="14" t="s">
        <v>1635</v>
      </c>
      <c r="I239" s="14"/>
      <c r="J239" s="16" t="s">
        <v>51</v>
      </c>
      <c r="K239" s="14"/>
    </row>
    <row r="240" spans="1:11" ht="42" customHeight="1">
      <c r="A240" s="13" t="s">
        <v>1998</v>
      </c>
      <c r="B240" s="14" t="s">
        <v>1627</v>
      </c>
      <c r="C240" s="14" t="s">
        <v>1637</v>
      </c>
      <c r="D240" s="15" t="s">
        <v>43</v>
      </c>
      <c r="E240" s="13" t="s">
        <v>46</v>
      </c>
      <c r="F240" s="14" t="s">
        <v>1999</v>
      </c>
      <c r="G240" s="14" t="s">
        <v>2000</v>
      </c>
      <c r="H240" s="14" t="s">
        <v>1640</v>
      </c>
      <c r="I240" s="14"/>
      <c r="J240" s="16" t="s">
        <v>51</v>
      </c>
      <c r="K240" s="14"/>
    </row>
    <row r="241" spans="1:11" ht="55.5" customHeight="1">
      <c r="A241" s="17" t="s">
        <v>2001</v>
      </c>
      <c r="B241" s="18" t="s">
        <v>1627</v>
      </c>
      <c r="C241" s="18" t="s">
        <v>1642</v>
      </c>
      <c r="D241" s="19" t="s">
        <v>44</v>
      </c>
      <c r="E241" s="17" t="s">
        <v>45</v>
      </c>
      <c r="F241" s="18" t="s">
        <v>1643</v>
      </c>
      <c r="G241" s="18" t="s">
        <v>1644</v>
      </c>
      <c r="H241" s="18" t="s">
        <v>1645</v>
      </c>
      <c r="I241" s="18"/>
      <c r="J241" s="16" t="s">
        <v>51</v>
      </c>
      <c r="K241" s="18"/>
    </row>
    <row r="242" spans="1:11" ht="55.5" customHeight="1">
      <c r="A242" s="13" t="s">
        <v>2002</v>
      </c>
      <c r="B242" s="14" t="s">
        <v>1627</v>
      </c>
      <c r="C242" s="14" t="s">
        <v>1647</v>
      </c>
      <c r="D242" s="15" t="s">
        <v>43</v>
      </c>
      <c r="E242" s="13" t="s">
        <v>45</v>
      </c>
      <c r="F242" s="14" t="s">
        <v>1648</v>
      </c>
      <c r="G242" s="14" t="s">
        <v>1649</v>
      </c>
      <c r="H242" s="14" t="s">
        <v>1650</v>
      </c>
      <c r="I242" s="14"/>
      <c r="J242" s="16" t="s">
        <v>51</v>
      </c>
      <c r="K242" s="14"/>
    </row>
    <row r="243" spans="1:11" ht="69.75" customHeight="1">
      <c r="A243" s="13" t="s">
        <v>2003</v>
      </c>
      <c r="B243" s="14" t="s">
        <v>1627</v>
      </c>
      <c r="C243" s="14" t="s">
        <v>2004</v>
      </c>
      <c r="D243" s="15" t="s">
        <v>43</v>
      </c>
      <c r="E243" s="13" t="s">
        <v>46</v>
      </c>
      <c r="F243" s="14" t="s">
        <v>2005</v>
      </c>
      <c r="G243" s="14" t="s">
        <v>109</v>
      </c>
      <c r="H243" s="14" t="s">
        <v>2006</v>
      </c>
      <c r="I243" s="14"/>
      <c r="J243" s="16" t="s">
        <v>51</v>
      </c>
      <c r="K243" s="14"/>
    </row>
    <row r="244" spans="1:11" ht="84" customHeight="1">
      <c r="A244" s="13" t="s">
        <v>2007</v>
      </c>
      <c r="B244" s="14" t="s">
        <v>1652</v>
      </c>
      <c r="C244" s="14" t="s">
        <v>1653</v>
      </c>
      <c r="D244" s="15" t="s">
        <v>43</v>
      </c>
      <c r="E244" s="13" t="s">
        <v>45</v>
      </c>
      <c r="F244" s="14" t="s">
        <v>1654</v>
      </c>
      <c r="G244" s="14" t="s">
        <v>1655</v>
      </c>
      <c r="H244" s="14" t="s">
        <v>1656</v>
      </c>
      <c r="I244" s="14"/>
      <c r="J244" s="16" t="s">
        <v>51</v>
      </c>
      <c r="K244" s="14" t="s">
        <v>2008</v>
      </c>
    </row>
    <row r="245" spans="1:11" ht="55.5" customHeight="1">
      <c r="A245" s="13" t="s">
        <v>2009</v>
      </c>
      <c r="B245" s="14" t="s">
        <v>1652</v>
      </c>
      <c r="C245" s="14" t="s">
        <v>1659</v>
      </c>
      <c r="D245" s="15" t="s">
        <v>43</v>
      </c>
      <c r="E245" s="13" t="s">
        <v>46</v>
      </c>
      <c r="F245" s="14" t="s">
        <v>1660</v>
      </c>
      <c r="G245" s="14" t="s">
        <v>109</v>
      </c>
      <c r="H245" s="14" t="s">
        <v>1661</v>
      </c>
      <c r="I245" s="14"/>
      <c r="J245" s="16" t="s">
        <v>51</v>
      </c>
      <c r="K245" s="14"/>
    </row>
    <row r="246" spans="1:11" ht="42" customHeight="1">
      <c r="A246" s="17" t="s">
        <v>2010</v>
      </c>
      <c r="B246" s="18" t="s">
        <v>1652</v>
      </c>
      <c r="C246" s="18" t="s">
        <v>1663</v>
      </c>
      <c r="D246" s="19" t="s">
        <v>44</v>
      </c>
      <c r="E246" s="17" t="s">
        <v>45</v>
      </c>
      <c r="F246" s="18" t="s">
        <v>1664</v>
      </c>
      <c r="G246" s="18" t="s">
        <v>1665</v>
      </c>
      <c r="H246" s="18" t="s">
        <v>1666</v>
      </c>
      <c r="I246" s="18"/>
      <c r="J246" s="16" t="s">
        <v>51</v>
      </c>
      <c r="K246" s="18"/>
    </row>
    <row r="247" spans="1:11" ht="55.5" customHeight="1">
      <c r="A247" s="13" t="s">
        <v>2011</v>
      </c>
      <c r="B247" s="14" t="s">
        <v>1652</v>
      </c>
      <c r="C247" s="14" t="s">
        <v>1668</v>
      </c>
      <c r="D247" s="15" t="s">
        <v>43</v>
      </c>
      <c r="E247" s="13" t="s">
        <v>46</v>
      </c>
      <c r="F247" s="14" t="s">
        <v>2012</v>
      </c>
      <c r="G247" s="14" t="s">
        <v>109</v>
      </c>
      <c r="H247" s="14" t="s">
        <v>2013</v>
      </c>
      <c r="I247" s="14"/>
      <c r="J247" s="16" t="s">
        <v>51</v>
      </c>
      <c r="K247" s="14"/>
    </row>
    <row r="248" spans="1:11" ht="42" customHeight="1">
      <c r="A248" s="17" t="s">
        <v>2014</v>
      </c>
      <c r="B248" s="18" t="s">
        <v>1652</v>
      </c>
      <c r="C248" s="18" t="s">
        <v>1672</v>
      </c>
      <c r="D248" s="19" t="s">
        <v>44</v>
      </c>
      <c r="E248" s="17" t="s">
        <v>45</v>
      </c>
      <c r="F248" s="18" t="s">
        <v>1673</v>
      </c>
      <c r="G248" s="18" t="s">
        <v>1674</v>
      </c>
      <c r="H248" s="18" t="s">
        <v>1675</v>
      </c>
      <c r="I248" s="18"/>
      <c r="J248" s="16" t="s">
        <v>51</v>
      </c>
      <c r="K248" s="18"/>
    </row>
    <row r="249" spans="1:11" ht="42" customHeight="1">
      <c r="A249" s="13" t="s">
        <v>2015</v>
      </c>
      <c r="B249" s="14" t="s">
        <v>1652</v>
      </c>
      <c r="C249" s="14" t="s">
        <v>1677</v>
      </c>
      <c r="D249" s="15" t="s">
        <v>43</v>
      </c>
      <c r="E249" s="13" t="s">
        <v>47</v>
      </c>
      <c r="F249" s="14" t="s">
        <v>1678</v>
      </c>
      <c r="G249" s="14" t="s">
        <v>109</v>
      </c>
      <c r="H249" s="14" t="s">
        <v>1679</v>
      </c>
      <c r="I249" s="14"/>
      <c r="J249" s="16" t="s">
        <v>51</v>
      </c>
      <c r="K249" s="14"/>
    </row>
    <row r="250" spans="1:11" ht="84" customHeight="1">
      <c r="A250" s="13" t="s">
        <v>2016</v>
      </c>
      <c r="B250" s="14" t="s">
        <v>1652</v>
      </c>
      <c r="C250" s="14" t="s">
        <v>2017</v>
      </c>
      <c r="D250" s="15" t="s">
        <v>43</v>
      </c>
      <c r="E250" s="13" t="s">
        <v>45</v>
      </c>
      <c r="F250" s="14" t="s">
        <v>2018</v>
      </c>
      <c r="G250" s="14" t="s">
        <v>2019</v>
      </c>
      <c r="H250" s="14" t="s">
        <v>2020</v>
      </c>
      <c r="I250" s="14"/>
      <c r="J250" s="16" t="s">
        <v>51</v>
      </c>
      <c r="K250" s="14"/>
    </row>
    <row r="251" spans="1:11" ht="97.5" customHeight="1">
      <c r="A251" s="13" t="s">
        <v>2021</v>
      </c>
      <c r="B251" s="14" t="s">
        <v>1681</v>
      </c>
      <c r="C251" s="14" t="s">
        <v>1682</v>
      </c>
      <c r="D251" s="15" t="s">
        <v>43</v>
      </c>
      <c r="E251" s="13" t="s">
        <v>45</v>
      </c>
      <c r="F251" s="14" t="s">
        <v>2022</v>
      </c>
      <c r="G251" s="14" t="s">
        <v>1684</v>
      </c>
      <c r="H251" s="14" t="s">
        <v>1685</v>
      </c>
      <c r="I251" s="14"/>
      <c r="J251" s="16" t="s">
        <v>51</v>
      </c>
      <c r="K251" s="14" t="s">
        <v>1686</v>
      </c>
    </row>
    <row r="252" spans="1:11" ht="69.75" customHeight="1">
      <c r="A252" s="17" t="s">
        <v>2023</v>
      </c>
      <c r="B252" s="18" t="s">
        <v>1681</v>
      </c>
      <c r="C252" s="18" t="s">
        <v>1688</v>
      </c>
      <c r="D252" s="19" t="s">
        <v>44</v>
      </c>
      <c r="E252" s="17" t="s">
        <v>45</v>
      </c>
      <c r="F252" s="18" t="s">
        <v>1689</v>
      </c>
      <c r="G252" s="18" t="s">
        <v>1690</v>
      </c>
      <c r="H252" s="18" t="s">
        <v>1691</v>
      </c>
      <c r="I252" s="18"/>
      <c r="J252" s="16" t="s">
        <v>51</v>
      </c>
      <c r="K252" s="18" t="s">
        <v>631</v>
      </c>
    </row>
    <row r="253" spans="1:11" ht="55.5" customHeight="1">
      <c r="A253" s="13" t="s">
        <v>2024</v>
      </c>
      <c r="B253" s="14" t="s">
        <v>1681</v>
      </c>
      <c r="C253" s="14" t="s">
        <v>1693</v>
      </c>
      <c r="D253" s="15" t="s">
        <v>43</v>
      </c>
      <c r="E253" s="13" t="s">
        <v>45</v>
      </c>
      <c r="F253" s="14" t="s">
        <v>1694</v>
      </c>
      <c r="G253" s="14" t="s">
        <v>1695</v>
      </c>
      <c r="H253" s="14" t="s">
        <v>1696</v>
      </c>
      <c r="I253" s="14"/>
      <c r="J253" s="16" t="s">
        <v>51</v>
      </c>
      <c r="K253" s="14"/>
    </row>
    <row r="254" spans="1:11" ht="42" customHeight="1">
      <c r="A254" s="17" t="s">
        <v>2025</v>
      </c>
      <c r="B254" s="18" t="s">
        <v>1681</v>
      </c>
      <c r="C254" s="18" t="s">
        <v>2026</v>
      </c>
      <c r="D254" s="19" t="s">
        <v>44</v>
      </c>
      <c r="E254" s="17" t="s">
        <v>46</v>
      </c>
      <c r="F254" s="18" t="s">
        <v>2027</v>
      </c>
      <c r="G254" s="18" t="s">
        <v>2028</v>
      </c>
      <c r="H254" s="18" t="s">
        <v>1701</v>
      </c>
      <c r="I254" s="18"/>
      <c r="J254" s="16" t="s">
        <v>51</v>
      </c>
      <c r="K254" s="18"/>
    </row>
    <row r="255" spans="1:11" ht="42" customHeight="1">
      <c r="A255" s="17" t="s">
        <v>2029</v>
      </c>
      <c r="B255" s="18" t="s">
        <v>1681</v>
      </c>
      <c r="C255" s="18" t="s">
        <v>1703</v>
      </c>
      <c r="D255" s="19" t="s">
        <v>44</v>
      </c>
      <c r="E255" s="17" t="s">
        <v>45</v>
      </c>
      <c r="F255" s="18" t="s">
        <v>1704</v>
      </c>
      <c r="G255" s="18" t="s">
        <v>1705</v>
      </c>
      <c r="H255" s="18" t="s">
        <v>1706</v>
      </c>
      <c r="I255" s="18"/>
      <c r="J255" s="16" t="s">
        <v>51</v>
      </c>
      <c r="K255" s="18"/>
    </row>
    <row r="256" spans="1:11" ht="55.5" customHeight="1">
      <c r="A256" s="13" t="s">
        <v>2030</v>
      </c>
      <c r="B256" s="14" t="s">
        <v>1681</v>
      </c>
      <c r="C256" s="14" t="s">
        <v>1708</v>
      </c>
      <c r="D256" s="15" t="s">
        <v>43</v>
      </c>
      <c r="E256" s="13" t="s">
        <v>46</v>
      </c>
      <c r="F256" s="14" t="s">
        <v>1709</v>
      </c>
      <c r="G256" s="14" t="s">
        <v>1710</v>
      </c>
      <c r="H256" s="14" t="s">
        <v>1711</v>
      </c>
      <c r="I256" s="14"/>
      <c r="J256" s="16" t="s">
        <v>51</v>
      </c>
      <c r="K256" s="14" t="s">
        <v>1712</v>
      </c>
    </row>
    <row r="257" spans="1:11" ht="55.5" customHeight="1">
      <c r="A257" s="17" t="s">
        <v>2031</v>
      </c>
      <c r="B257" s="18" t="s">
        <v>1681</v>
      </c>
      <c r="C257" s="18" t="s">
        <v>1714</v>
      </c>
      <c r="D257" s="19" t="s">
        <v>44</v>
      </c>
      <c r="E257" s="17" t="s">
        <v>46</v>
      </c>
      <c r="F257" s="18" t="s">
        <v>1715</v>
      </c>
      <c r="G257" s="18" t="s">
        <v>109</v>
      </c>
      <c r="H257" s="18" t="s">
        <v>1716</v>
      </c>
      <c r="I257" s="18"/>
      <c r="J257" s="16" t="s">
        <v>51</v>
      </c>
      <c r="K257" s="18"/>
    </row>
    <row r="258" spans="1:11" ht="69.75" customHeight="1">
      <c r="A258" s="13" t="s">
        <v>2032</v>
      </c>
      <c r="B258" s="14" t="s">
        <v>1681</v>
      </c>
      <c r="C258" s="14" t="s">
        <v>1718</v>
      </c>
      <c r="D258" s="15" t="s">
        <v>43</v>
      </c>
      <c r="E258" s="13" t="s">
        <v>46</v>
      </c>
      <c r="F258" s="14" t="s">
        <v>2033</v>
      </c>
      <c r="G258" s="14" t="s">
        <v>2034</v>
      </c>
      <c r="H258" s="14" t="s">
        <v>1721</v>
      </c>
      <c r="I258" s="14"/>
      <c r="J258" s="16" t="s">
        <v>51</v>
      </c>
      <c r="K258" s="14"/>
    </row>
  </sheetData>
  <autoFilter ref="A1:K258" xr:uid="{00000000-0009-0000-0000-000011000000}"/>
  <dataValidations count="3">
    <dataValidation type="list" allowBlank="1" sqref="D2:D258" xr:uid="{00000000-0002-0000-1100-000000000000}">
      <formula1>"Positive,Negative,Functional - Positive,Functional - Negative,Validation - Positive,Validation - Negative,Defect - Functional,Defect - Validation"</formula1>
      <formula2>0</formula2>
    </dataValidation>
    <dataValidation type="list" allowBlank="1" sqref="E2:E258" xr:uid="{00000000-0002-0000-1100-000001000000}">
      <formula1>"High,Medium,Low"</formula1>
      <formula2>0</formula2>
    </dataValidation>
    <dataValidation type="list" allowBlank="1" sqref="J2:J258" xr:uid="{00000000-0002-0000-11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8"/>
  <sheetViews>
    <sheetView zoomScaleNormal="100" workbookViewId="0">
      <selection activeCell="C2" sqref="C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27" t="s">
        <v>79</v>
      </c>
      <c r="B1" s="27" t="s">
        <v>80</v>
      </c>
      <c r="C1" s="27" t="s">
        <v>81</v>
      </c>
      <c r="D1" s="27" t="s">
        <v>82</v>
      </c>
      <c r="E1" s="27" t="s">
        <v>83</v>
      </c>
      <c r="F1" s="27" t="s">
        <v>84</v>
      </c>
      <c r="G1" s="27" t="s">
        <v>85</v>
      </c>
      <c r="H1" s="27" t="s">
        <v>86</v>
      </c>
      <c r="I1" s="27" t="s">
        <v>87</v>
      </c>
      <c r="J1" s="27" t="s">
        <v>88</v>
      </c>
      <c r="K1" s="27" t="s">
        <v>89</v>
      </c>
    </row>
    <row r="2" spans="1:11" ht="42" customHeight="1">
      <c r="A2" s="13" t="s">
        <v>5264</v>
      </c>
      <c r="B2" s="14" t="s">
        <v>5461</v>
      </c>
      <c r="C2" s="14" t="s">
        <v>5462</v>
      </c>
      <c r="D2" s="15" t="s">
        <v>32</v>
      </c>
      <c r="E2" s="13" t="s">
        <v>46</v>
      </c>
      <c r="F2" s="14" t="s">
        <v>5463</v>
      </c>
      <c r="G2" s="14" t="s">
        <v>109</v>
      </c>
      <c r="H2" s="14" t="s">
        <v>5464</v>
      </c>
      <c r="I2" s="14"/>
      <c r="J2" s="16" t="s">
        <v>51</v>
      </c>
      <c r="K2" s="14"/>
    </row>
    <row r="3" spans="1:11" ht="42" customHeight="1">
      <c r="A3" s="13" t="s">
        <v>5270</v>
      </c>
      <c r="B3" s="14" t="s">
        <v>5461</v>
      </c>
      <c r="C3" s="14" t="s">
        <v>5465</v>
      </c>
      <c r="D3" s="15" t="s">
        <v>32</v>
      </c>
      <c r="E3" s="13" t="s">
        <v>47</v>
      </c>
      <c r="F3" s="14" t="s">
        <v>5466</v>
      </c>
      <c r="G3" s="14" t="s">
        <v>109</v>
      </c>
      <c r="H3" s="14" t="s">
        <v>5467</v>
      </c>
      <c r="I3" s="14"/>
      <c r="J3" s="16" t="s">
        <v>51</v>
      </c>
      <c r="K3" s="14"/>
    </row>
    <row r="4" spans="1:11" ht="42" customHeight="1">
      <c r="A4" s="13" t="s">
        <v>5274</v>
      </c>
      <c r="B4" s="14" t="s">
        <v>5461</v>
      </c>
      <c r="C4" s="14" t="s">
        <v>5468</v>
      </c>
      <c r="D4" s="15" t="s">
        <v>32</v>
      </c>
      <c r="E4" s="13" t="s">
        <v>45</v>
      </c>
      <c r="F4" s="14" t="s">
        <v>5469</v>
      </c>
      <c r="G4" s="14" t="s">
        <v>109</v>
      </c>
      <c r="H4" s="14" t="s">
        <v>5470</v>
      </c>
      <c r="I4" s="14"/>
      <c r="J4" s="16" t="s">
        <v>51</v>
      </c>
      <c r="K4" s="14"/>
    </row>
    <row r="5" spans="1:11" ht="42" customHeight="1">
      <c r="A5" s="13" t="s">
        <v>5278</v>
      </c>
      <c r="B5" s="14" t="s">
        <v>5461</v>
      </c>
      <c r="C5" s="14" t="s">
        <v>5471</v>
      </c>
      <c r="D5" s="15" t="s">
        <v>32</v>
      </c>
      <c r="E5" s="13" t="s">
        <v>46</v>
      </c>
      <c r="F5" s="14" t="s">
        <v>5472</v>
      </c>
      <c r="G5" s="14" t="s">
        <v>109</v>
      </c>
      <c r="H5" s="14" t="s">
        <v>5473</v>
      </c>
      <c r="I5" s="14"/>
      <c r="J5" s="16" t="s">
        <v>51</v>
      </c>
      <c r="K5" s="14"/>
    </row>
    <row r="6" spans="1:11" ht="42" customHeight="1">
      <c r="A6" s="13" t="s">
        <v>5284</v>
      </c>
      <c r="B6" s="14" t="s">
        <v>5461</v>
      </c>
      <c r="C6" s="14" t="s">
        <v>5474</v>
      </c>
      <c r="D6" s="15" t="s">
        <v>32</v>
      </c>
      <c r="E6" s="13" t="s">
        <v>45</v>
      </c>
      <c r="F6" s="14" t="s">
        <v>5475</v>
      </c>
      <c r="G6" s="14" t="s">
        <v>4814</v>
      </c>
      <c r="H6" s="14" t="s">
        <v>5476</v>
      </c>
      <c r="I6" s="14"/>
      <c r="J6" s="16" t="s">
        <v>51</v>
      </c>
      <c r="K6" s="14"/>
    </row>
    <row r="7" spans="1:11" ht="42" customHeight="1">
      <c r="A7" s="13" t="s">
        <v>5289</v>
      </c>
      <c r="B7" s="14" t="s">
        <v>5477</v>
      </c>
      <c r="C7" s="14" t="s">
        <v>5478</v>
      </c>
      <c r="D7" s="15" t="s">
        <v>32</v>
      </c>
      <c r="E7" s="13" t="s">
        <v>47</v>
      </c>
      <c r="F7" s="14" t="s">
        <v>5479</v>
      </c>
      <c r="G7" s="14" t="s">
        <v>5480</v>
      </c>
      <c r="H7" s="14" t="s">
        <v>5481</v>
      </c>
      <c r="I7" s="14"/>
      <c r="J7" s="16" t="s">
        <v>51</v>
      </c>
      <c r="K7" s="14"/>
    </row>
    <row r="8" spans="1:11" ht="42" customHeight="1">
      <c r="A8" s="13" t="s">
        <v>5294</v>
      </c>
      <c r="B8" s="14" t="s">
        <v>5477</v>
      </c>
      <c r="C8" s="14" t="s">
        <v>5482</v>
      </c>
      <c r="D8" s="15" t="s">
        <v>32</v>
      </c>
      <c r="E8" s="13" t="s">
        <v>45</v>
      </c>
      <c r="F8" s="14" t="s">
        <v>5483</v>
      </c>
      <c r="G8" s="14" t="s">
        <v>5484</v>
      </c>
      <c r="H8" s="14" t="s">
        <v>5485</v>
      </c>
      <c r="I8" s="14"/>
      <c r="J8" s="16" t="s">
        <v>51</v>
      </c>
      <c r="K8" s="14"/>
    </row>
    <row r="9" spans="1:11" ht="55.5" customHeight="1">
      <c r="A9" s="13" t="s">
        <v>5298</v>
      </c>
      <c r="B9" s="14" t="s">
        <v>5486</v>
      </c>
      <c r="C9" s="14" t="s">
        <v>5487</v>
      </c>
      <c r="D9" s="15" t="s">
        <v>32</v>
      </c>
      <c r="E9" s="13" t="s">
        <v>45</v>
      </c>
      <c r="F9" s="14" t="s">
        <v>5488</v>
      </c>
      <c r="G9" s="14" t="s">
        <v>5489</v>
      </c>
      <c r="H9" s="14" t="s">
        <v>5490</v>
      </c>
      <c r="I9" s="14"/>
      <c r="J9" s="16" t="s">
        <v>51</v>
      </c>
      <c r="K9" s="14"/>
    </row>
    <row r="10" spans="1:11" ht="42" customHeight="1">
      <c r="A10" s="13" t="s">
        <v>5303</v>
      </c>
      <c r="B10" s="14" t="s">
        <v>5491</v>
      </c>
      <c r="C10" s="14" t="s">
        <v>5492</v>
      </c>
      <c r="D10" s="15" t="s">
        <v>32</v>
      </c>
      <c r="E10" s="13" t="s">
        <v>46</v>
      </c>
      <c r="F10" s="14" t="s">
        <v>5493</v>
      </c>
      <c r="G10" s="14" t="s">
        <v>109</v>
      </c>
      <c r="H10" s="14" t="s">
        <v>5494</v>
      </c>
      <c r="I10" s="14"/>
      <c r="J10" s="16" t="s">
        <v>51</v>
      </c>
      <c r="K10" s="14"/>
    </row>
    <row r="11" spans="1:11" ht="42" customHeight="1">
      <c r="A11" s="13" t="s">
        <v>5307</v>
      </c>
      <c r="B11" s="14" t="s">
        <v>5461</v>
      </c>
      <c r="C11" s="14" t="s">
        <v>5495</v>
      </c>
      <c r="D11" s="15" t="s">
        <v>32</v>
      </c>
      <c r="E11" s="13" t="s">
        <v>45</v>
      </c>
      <c r="F11" s="14" t="s">
        <v>5496</v>
      </c>
      <c r="G11" s="14" t="s">
        <v>5497</v>
      </c>
      <c r="H11" s="14" t="s">
        <v>5498</v>
      </c>
      <c r="I11" s="14"/>
      <c r="J11" s="16" t="s">
        <v>51</v>
      </c>
      <c r="K11" s="14"/>
    </row>
    <row r="12" spans="1:11" ht="27.75" customHeight="1">
      <c r="A12" s="13" t="s">
        <v>5313</v>
      </c>
      <c r="B12" s="14" t="s">
        <v>5461</v>
      </c>
      <c r="C12" s="14" t="s">
        <v>5499</v>
      </c>
      <c r="D12" s="15" t="s">
        <v>32</v>
      </c>
      <c r="E12" s="13" t="s">
        <v>46</v>
      </c>
      <c r="F12" s="14" t="s">
        <v>5500</v>
      </c>
      <c r="G12" s="14" t="s">
        <v>109</v>
      </c>
      <c r="H12" s="14" t="s">
        <v>5501</v>
      </c>
      <c r="I12" s="14"/>
      <c r="J12" s="16" t="s">
        <v>51</v>
      </c>
      <c r="K12" s="14"/>
    </row>
    <row r="13" spans="1:11" ht="42" customHeight="1">
      <c r="A13" s="13" t="s">
        <v>5318</v>
      </c>
      <c r="B13" s="14" t="s">
        <v>5461</v>
      </c>
      <c r="C13" s="14" t="s">
        <v>5502</v>
      </c>
      <c r="D13" s="15" t="s">
        <v>32</v>
      </c>
      <c r="E13" s="13" t="s">
        <v>46</v>
      </c>
      <c r="F13" s="14" t="s">
        <v>5503</v>
      </c>
      <c r="G13" s="14" t="s">
        <v>5504</v>
      </c>
      <c r="H13" s="14" t="s">
        <v>5505</v>
      </c>
      <c r="I13" s="14"/>
      <c r="J13" s="16" t="s">
        <v>51</v>
      </c>
      <c r="K13" s="14"/>
    </row>
    <row r="14" spans="1:11" ht="27.75" customHeight="1">
      <c r="A14" s="17" t="s">
        <v>5322</v>
      </c>
      <c r="B14" s="18" t="s">
        <v>5477</v>
      </c>
      <c r="C14" s="18" t="s">
        <v>5506</v>
      </c>
      <c r="D14" s="19" t="s">
        <v>33</v>
      </c>
      <c r="E14" s="17" t="s">
        <v>46</v>
      </c>
      <c r="F14" s="18" t="s">
        <v>5507</v>
      </c>
      <c r="G14" s="18" t="s">
        <v>5508</v>
      </c>
      <c r="H14" s="18" t="s">
        <v>5509</v>
      </c>
      <c r="I14" s="18"/>
      <c r="J14" s="16" t="s">
        <v>51</v>
      </c>
      <c r="K14" s="18"/>
    </row>
    <row r="15" spans="1:11" ht="42" customHeight="1">
      <c r="A15" s="17" t="s">
        <v>5327</v>
      </c>
      <c r="B15" s="18" t="s">
        <v>5486</v>
      </c>
      <c r="C15" s="18" t="s">
        <v>5510</v>
      </c>
      <c r="D15" s="19" t="s">
        <v>33</v>
      </c>
      <c r="E15" s="17" t="s">
        <v>46</v>
      </c>
      <c r="F15" s="18" t="s">
        <v>5511</v>
      </c>
      <c r="G15" s="18" t="s">
        <v>109</v>
      </c>
      <c r="H15" s="18" t="s">
        <v>5512</v>
      </c>
      <c r="I15" s="18"/>
      <c r="J15" s="16" t="s">
        <v>51</v>
      </c>
      <c r="K15" s="18"/>
    </row>
    <row r="16" spans="1:11" ht="42" customHeight="1">
      <c r="A16" s="13" t="s">
        <v>5331</v>
      </c>
      <c r="B16" s="14" t="s">
        <v>5513</v>
      </c>
      <c r="C16" s="14" t="s">
        <v>5514</v>
      </c>
      <c r="D16" s="15" t="s">
        <v>32</v>
      </c>
      <c r="E16" s="13" t="s">
        <v>45</v>
      </c>
      <c r="F16" s="14" t="s">
        <v>5515</v>
      </c>
      <c r="G16" s="14" t="s">
        <v>5516</v>
      </c>
      <c r="H16" s="14" t="s">
        <v>5517</v>
      </c>
      <c r="I16" s="14"/>
      <c r="J16" s="16" t="s">
        <v>51</v>
      </c>
      <c r="K16" s="14"/>
    </row>
    <row r="17" spans="1:11" ht="27.75" customHeight="1">
      <c r="A17" s="13" t="s">
        <v>5336</v>
      </c>
      <c r="B17" s="14" t="s">
        <v>5513</v>
      </c>
      <c r="C17" s="14" t="s">
        <v>5518</v>
      </c>
      <c r="D17" s="15" t="s">
        <v>32</v>
      </c>
      <c r="E17" s="13" t="s">
        <v>45</v>
      </c>
      <c r="F17" s="14" t="s">
        <v>5519</v>
      </c>
      <c r="G17" s="14" t="s">
        <v>5516</v>
      </c>
      <c r="H17" s="14" t="s">
        <v>5520</v>
      </c>
      <c r="I17" s="14"/>
      <c r="J17" s="16" t="s">
        <v>51</v>
      </c>
      <c r="K17" s="14"/>
    </row>
    <row r="18" spans="1:11" ht="42" customHeight="1">
      <c r="A18" s="17" t="s">
        <v>5340</v>
      </c>
      <c r="B18" s="18" t="s">
        <v>5513</v>
      </c>
      <c r="C18" s="18" t="s">
        <v>5521</v>
      </c>
      <c r="D18" s="19" t="s">
        <v>33</v>
      </c>
      <c r="E18" s="17" t="s">
        <v>46</v>
      </c>
      <c r="F18" s="18" t="s">
        <v>5522</v>
      </c>
      <c r="G18" s="18" t="s">
        <v>5516</v>
      </c>
      <c r="H18" s="18" t="s">
        <v>5523</v>
      </c>
      <c r="I18" s="18"/>
      <c r="J18" s="16" t="s">
        <v>51</v>
      </c>
      <c r="K18" s="18"/>
    </row>
    <row r="19" spans="1:11" ht="42" customHeight="1">
      <c r="A19" s="17" t="s">
        <v>5369</v>
      </c>
      <c r="B19" s="18" t="s">
        <v>5461</v>
      </c>
      <c r="C19" s="18" t="s">
        <v>5524</v>
      </c>
      <c r="D19" s="19" t="s">
        <v>31</v>
      </c>
      <c r="E19" s="17" t="s">
        <v>45</v>
      </c>
      <c r="F19" s="18" t="s">
        <v>5525</v>
      </c>
      <c r="G19" s="18" t="s">
        <v>5526</v>
      </c>
      <c r="H19" s="18" t="s">
        <v>5527</v>
      </c>
      <c r="I19" s="18"/>
      <c r="J19" s="16" t="s">
        <v>51</v>
      </c>
      <c r="K19" s="18"/>
    </row>
    <row r="20" spans="1:11" ht="42" customHeight="1">
      <c r="A20" s="17" t="s">
        <v>5374</v>
      </c>
      <c r="B20" s="18" t="s">
        <v>5477</v>
      </c>
      <c r="C20" s="18" t="s">
        <v>5528</v>
      </c>
      <c r="D20" s="19" t="s">
        <v>31</v>
      </c>
      <c r="E20" s="17" t="s">
        <v>45</v>
      </c>
      <c r="F20" s="18" t="s">
        <v>5529</v>
      </c>
      <c r="G20" s="18" t="s">
        <v>5530</v>
      </c>
      <c r="H20" s="18" t="s">
        <v>5531</v>
      </c>
      <c r="I20" s="18"/>
      <c r="J20" s="16" t="s">
        <v>51</v>
      </c>
      <c r="K20" s="18"/>
    </row>
    <row r="21" spans="1:11" ht="42" customHeight="1">
      <c r="A21" s="17" t="s">
        <v>5378</v>
      </c>
      <c r="B21" s="18" t="s">
        <v>5477</v>
      </c>
      <c r="C21" s="18" t="s">
        <v>5532</v>
      </c>
      <c r="D21" s="19" t="s">
        <v>31</v>
      </c>
      <c r="E21" s="17" t="s">
        <v>45</v>
      </c>
      <c r="F21" s="18" t="s">
        <v>5533</v>
      </c>
      <c r="G21" s="18" t="s">
        <v>5534</v>
      </c>
      <c r="H21" s="18" t="s">
        <v>5535</v>
      </c>
      <c r="I21" s="18"/>
      <c r="J21" s="16" t="s">
        <v>51</v>
      </c>
      <c r="K21" s="18"/>
    </row>
    <row r="22" spans="1:11" ht="27.75" customHeight="1">
      <c r="A22" s="13" t="s">
        <v>5383</v>
      </c>
      <c r="B22" s="14" t="s">
        <v>5477</v>
      </c>
      <c r="C22" s="14" t="s">
        <v>5536</v>
      </c>
      <c r="D22" s="15" t="s">
        <v>30</v>
      </c>
      <c r="E22" s="13" t="s">
        <v>45</v>
      </c>
      <c r="F22" s="14" t="s">
        <v>5537</v>
      </c>
      <c r="G22" s="14" t="s">
        <v>5538</v>
      </c>
      <c r="H22" s="14" t="s">
        <v>5539</v>
      </c>
      <c r="I22" s="14"/>
      <c r="J22" s="16" t="s">
        <v>51</v>
      </c>
      <c r="K22" s="14"/>
    </row>
    <row r="23" spans="1:11" ht="27.75" customHeight="1">
      <c r="A23" s="13" t="s">
        <v>5387</v>
      </c>
      <c r="B23" s="14" t="s">
        <v>5477</v>
      </c>
      <c r="C23" s="14" t="s">
        <v>5540</v>
      </c>
      <c r="D23" s="15" t="s">
        <v>30</v>
      </c>
      <c r="E23" s="13" t="s">
        <v>46</v>
      </c>
      <c r="F23" s="14" t="s">
        <v>5541</v>
      </c>
      <c r="G23" s="14" t="s">
        <v>5542</v>
      </c>
      <c r="H23" s="14" t="s">
        <v>5539</v>
      </c>
      <c r="I23" s="14"/>
      <c r="J23" s="16" t="s">
        <v>51</v>
      </c>
      <c r="K23" s="14"/>
    </row>
    <row r="24" spans="1:11" ht="27.75" customHeight="1">
      <c r="A24" s="17" t="s">
        <v>5391</v>
      </c>
      <c r="B24" s="18" t="s">
        <v>5477</v>
      </c>
      <c r="C24" s="18" t="s">
        <v>5543</v>
      </c>
      <c r="D24" s="19" t="s">
        <v>31</v>
      </c>
      <c r="E24" s="17" t="s">
        <v>45</v>
      </c>
      <c r="F24" s="18" t="s">
        <v>5544</v>
      </c>
      <c r="G24" s="18" t="s">
        <v>5545</v>
      </c>
      <c r="H24" s="18" t="s">
        <v>5531</v>
      </c>
      <c r="I24" s="18"/>
      <c r="J24" s="16" t="s">
        <v>51</v>
      </c>
      <c r="K24" s="18"/>
    </row>
    <row r="25" spans="1:11" ht="42" customHeight="1">
      <c r="A25" s="17" t="s">
        <v>5395</v>
      </c>
      <c r="B25" s="18" t="s">
        <v>5477</v>
      </c>
      <c r="C25" s="18" t="s">
        <v>5546</v>
      </c>
      <c r="D25" s="19" t="s">
        <v>31</v>
      </c>
      <c r="E25" s="17" t="s">
        <v>45</v>
      </c>
      <c r="F25" s="18" t="s">
        <v>5547</v>
      </c>
      <c r="G25" s="18" t="s">
        <v>5548</v>
      </c>
      <c r="H25" s="18" t="s">
        <v>5549</v>
      </c>
      <c r="I25" s="18"/>
      <c r="J25" s="16" t="s">
        <v>51</v>
      </c>
      <c r="K25" s="18"/>
    </row>
    <row r="26" spans="1:11" ht="42" customHeight="1">
      <c r="A26" s="17" t="s">
        <v>5400</v>
      </c>
      <c r="B26" s="18" t="s">
        <v>5477</v>
      </c>
      <c r="C26" s="18" t="s">
        <v>5550</v>
      </c>
      <c r="D26" s="19" t="s">
        <v>31</v>
      </c>
      <c r="E26" s="17" t="s">
        <v>45</v>
      </c>
      <c r="F26" s="18" t="s">
        <v>5551</v>
      </c>
      <c r="G26" s="18" t="s">
        <v>5552</v>
      </c>
      <c r="H26" s="18" t="s">
        <v>5553</v>
      </c>
      <c r="I26" s="18"/>
      <c r="J26" s="16" t="s">
        <v>51</v>
      </c>
      <c r="K26" s="18"/>
    </row>
    <row r="27" spans="1:11" ht="42" customHeight="1">
      <c r="A27" s="17" t="s">
        <v>5405</v>
      </c>
      <c r="B27" s="18" t="s">
        <v>5477</v>
      </c>
      <c r="C27" s="18" t="s">
        <v>5554</v>
      </c>
      <c r="D27" s="19" t="s">
        <v>31</v>
      </c>
      <c r="E27" s="17" t="s">
        <v>46</v>
      </c>
      <c r="F27" s="18" t="s">
        <v>5555</v>
      </c>
      <c r="G27" s="18" t="s">
        <v>5556</v>
      </c>
      <c r="H27" s="18" t="s">
        <v>5557</v>
      </c>
      <c r="I27" s="18"/>
      <c r="J27" s="16" t="s">
        <v>51</v>
      </c>
      <c r="K27" s="18"/>
    </row>
    <row r="28" spans="1:11" ht="42" customHeight="1">
      <c r="A28" s="17" t="s">
        <v>5410</v>
      </c>
      <c r="B28" s="18" t="s">
        <v>5477</v>
      </c>
      <c r="C28" s="18" t="s">
        <v>5558</v>
      </c>
      <c r="D28" s="19" t="s">
        <v>31</v>
      </c>
      <c r="E28" s="17" t="s">
        <v>46</v>
      </c>
      <c r="F28" s="18" t="s">
        <v>5559</v>
      </c>
      <c r="G28" s="18" t="s">
        <v>5560</v>
      </c>
      <c r="H28" s="18" t="s">
        <v>5561</v>
      </c>
      <c r="I28" s="18"/>
      <c r="J28" s="16" t="s">
        <v>51</v>
      </c>
      <c r="K28" s="18"/>
    </row>
    <row r="29" spans="1:11" ht="42" customHeight="1">
      <c r="A29" s="17" t="s">
        <v>5414</v>
      </c>
      <c r="B29" s="18" t="s">
        <v>5477</v>
      </c>
      <c r="C29" s="18" t="s">
        <v>5562</v>
      </c>
      <c r="D29" s="19" t="s">
        <v>31</v>
      </c>
      <c r="E29" s="17" t="s">
        <v>47</v>
      </c>
      <c r="F29" s="18" t="s">
        <v>5563</v>
      </c>
      <c r="G29" s="18" t="s">
        <v>5564</v>
      </c>
      <c r="H29" s="18" t="s">
        <v>5565</v>
      </c>
      <c r="I29" s="18"/>
      <c r="J29" s="16" t="s">
        <v>51</v>
      </c>
      <c r="K29" s="18"/>
    </row>
    <row r="30" spans="1:11" ht="42" customHeight="1">
      <c r="A30" s="13" t="s">
        <v>5419</v>
      </c>
      <c r="B30" s="14" t="s">
        <v>5477</v>
      </c>
      <c r="C30" s="14" t="s">
        <v>5566</v>
      </c>
      <c r="D30" s="15" t="s">
        <v>30</v>
      </c>
      <c r="E30" s="13" t="s">
        <v>45</v>
      </c>
      <c r="F30" s="14" t="s">
        <v>5567</v>
      </c>
      <c r="G30" s="14" t="s">
        <v>5568</v>
      </c>
      <c r="H30" s="14" t="s">
        <v>5569</v>
      </c>
      <c r="I30" s="14"/>
      <c r="J30" s="16" t="s">
        <v>51</v>
      </c>
      <c r="K30" s="14"/>
    </row>
    <row r="31" spans="1:11" ht="27.75" customHeight="1">
      <c r="A31" s="17" t="s">
        <v>5423</v>
      </c>
      <c r="B31" s="18" t="s">
        <v>5477</v>
      </c>
      <c r="C31" s="18" t="s">
        <v>5570</v>
      </c>
      <c r="D31" s="19" t="s">
        <v>31</v>
      </c>
      <c r="E31" s="17" t="s">
        <v>45</v>
      </c>
      <c r="F31" s="18" t="s">
        <v>5571</v>
      </c>
      <c r="G31" s="18" t="s">
        <v>5572</v>
      </c>
      <c r="H31" s="18" t="s">
        <v>5531</v>
      </c>
      <c r="I31" s="18"/>
      <c r="J31" s="16" t="s">
        <v>51</v>
      </c>
      <c r="K31" s="18"/>
    </row>
    <row r="32" spans="1:11" ht="27.75" customHeight="1">
      <c r="A32" s="13" t="s">
        <v>5428</v>
      </c>
      <c r="B32" s="14" t="s">
        <v>5477</v>
      </c>
      <c r="C32" s="14" t="s">
        <v>5573</v>
      </c>
      <c r="D32" s="15" t="s">
        <v>30</v>
      </c>
      <c r="E32" s="13" t="s">
        <v>45</v>
      </c>
      <c r="F32" s="14" t="s">
        <v>5574</v>
      </c>
      <c r="G32" s="14" t="s">
        <v>5575</v>
      </c>
      <c r="H32" s="14" t="s">
        <v>5576</v>
      </c>
      <c r="I32" s="14"/>
      <c r="J32" s="16" t="s">
        <v>51</v>
      </c>
      <c r="K32" s="14"/>
    </row>
    <row r="33" spans="1:11" ht="42" customHeight="1">
      <c r="A33" s="17" t="s">
        <v>5433</v>
      </c>
      <c r="B33" s="18" t="s">
        <v>5477</v>
      </c>
      <c r="C33" s="18" t="s">
        <v>5577</v>
      </c>
      <c r="D33" s="19" t="s">
        <v>31</v>
      </c>
      <c r="E33" s="17" t="s">
        <v>46</v>
      </c>
      <c r="F33" s="18" t="s">
        <v>5578</v>
      </c>
      <c r="G33" s="18" t="s">
        <v>5579</v>
      </c>
      <c r="H33" s="18" t="s">
        <v>5580</v>
      </c>
      <c r="I33" s="18"/>
      <c r="J33" s="16" t="s">
        <v>51</v>
      </c>
      <c r="K33" s="18"/>
    </row>
    <row r="34" spans="1:11" ht="27.75" customHeight="1">
      <c r="A34" s="17" t="s">
        <v>5438</v>
      </c>
      <c r="B34" s="18" t="s">
        <v>5477</v>
      </c>
      <c r="C34" s="18" t="s">
        <v>5581</v>
      </c>
      <c r="D34" s="19" t="s">
        <v>31</v>
      </c>
      <c r="E34" s="17" t="s">
        <v>45</v>
      </c>
      <c r="F34" s="18" t="s">
        <v>5582</v>
      </c>
      <c r="G34" s="18" t="s">
        <v>5583</v>
      </c>
      <c r="H34" s="18" t="s">
        <v>5584</v>
      </c>
      <c r="I34" s="18"/>
      <c r="J34" s="16" t="s">
        <v>51</v>
      </c>
      <c r="K34" s="18"/>
    </row>
    <row r="35" spans="1:11" ht="42" customHeight="1">
      <c r="A35" s="17" t="s">
        <v>5442</v>
      </c>
      <c r="B35" s="18" t="s">
        <v>5477</v>
      </c>
      <c r="C35" s="18" t="s">
        <v>5585</v>
      </c>
      <c r="D35" s="19" t="s">
        <v>31</v>
      </c>
      <c r="E35" s="17" t="s">
        <v>46</v>
      </c>
      <c r="F35" s="18" t="s">
        <v>5586</v>
      </c>
      <c r="G35" s="18" t="s">
        <v>5587</v>
      </c>
      <c r="H35" s="18" t="s">
        <v>5531</v>
      </c>
      <c r="I35" s="18"/>
      <c r="J35" s="16" t="s">
        <v>51</v>
      </c>
      <c r="K35" s="18"/>
    </row>
    <row r="36" spans="1:11" ht="27.75" customHeight="1">
      <c r="A36" s="13" t="s">
        <v>5446</v>
      </c>
      <c r="B36" s="14" t="s">
        <v>5477</v>
      </c>
      <c r="C36" s="14" t="s">
        <v>5588</v>
      </c>
      <c r="D36" s="15" t="s">
        <v>30</v>
      </c>
      <c r="E36" s="13" t="s">
        <v>47</v>
      </c>
      <c r="F36" s="14" t="s">
        <v>5589</v>
      </c>
      <c r="G36" s="14" t="s">
        <v>5590</v>
      </c>
      <c r="H36" s="14" t="s">
        <v>5591</v>
      </c>
      <c r="I36" s="14"/>
      <c r="J36" s="16" t="s">
        <v>51</v>
      </c>
      <c r="K36" s="14"/>
    </row>
    <row r="37" spans="1:11" ht="42" customHeight="1">
      <c r="A37" s="17" t="s">
        <v>5451</v>
      </c>
      <c r="B37" s="18" t="s">
        <v>5477</v>
      </c>
      <c r="C37" s="18" t="s">
        <v>5592</v>
      </c>
      <c r="D37" s="19" t="s">
        <v>31</v>
      </c>
      <c r="E37" s="17" t="s">
        <v>47</v>
      </c>
      <c r="F37" s="18" t="s">
        <v>5593</v>
      </c>
      <c r="G37" s="18" t="s">
        <v>5594</v>
      </c>
      <c r="H37" s="18" t="s">
        <v>5595</v>
      </c>
      <c r="I37" s="18"/>
      <c r="J37" s="16" t="s">
        <v>51</v>
      </c>
      <c r="K37" s="18"/>
    </row>
    <row r="38" spans="1:11" ht="55.5" customHeight="1">
      <c r="A38" s="17" t="s">
        <v>5456</v>
      </c>
      <c r="B38" s="18" t="s">
        <v>5486</v>
      </c>
      <c r="C38" s="18" t="s">
        <v>5596</v>
      </c>
      <c r="D38" s="19" t="s">
        <v>31</v>
      </c>
      <c r="E38" s="17" t="s">
        <v>45</v>
      </c>
      <c r="F38" s="18" t="s">
        <v>5597</v>
      </c>
      <c r="G38" s="18" t="s">
        <v>5598</v>
      </c>
      <c r="H38" s="18" t="s">
        <v>5599</v>
      </c>
      <c r="I38" s="18"/>
      <c r="J38" s="16" t="s">
        <v>51</v>
      </c>
      <c r="K38" s="18"/>
    </row>
  </sheetData>
  <autoFilter ref="A1:K38" xr:uid="{00000000-0009-0000-0000-000012000000}"/>
  <dataValidations count="3">
    <dataValidation type="list" allowBlank="1" sqref="D2:D38" xr:uid="{00000000-0002-0000-1200-000000000000}">
      <formula1>"Positive,Negative,Functional - Positive,Functional - Negative,Validation - Positive,Validation - Negative,Defect - Functional,Defect - Validation"</formula1>
      <formula2>0</formula2>
    </dataValidation>
    <dataValidation type="list" allowBlank="1" sqref="E2:E38" xr:uid="{00000000-0002-0000-1200-000001000000}">
      <formula1>"High,Medium,Low"</formula1>
      <formula2>0</formula2>
    </dataValidation>
    <dataValidation type="list" allowBlank="1" sqref="J2:J38" xr:uid="{00000000-0002-0000-12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85"/>
  <sheetViews>
    <sheetView zoomScaleNormal="100" workbookViewId="0">
      <selection activeCell="C2" sqref="C2"/>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31.5" customHeight="1">
      <c r="A1" s="28" t="s">
        <v>79</v>
      </c>
      <c r="B1" s="28" t="s">
        <v>80</v>
      </c>
      <c r="C1" s="28" t="s">
        <v>81</v>
      </c>
      <c r="D1" s="28" t="s">
        <v>82</v>
      </c>
      <c r="E1" s="28" t="s">
        <v>83</v>
      </c>
      <c r="F1" s="28" t="s">
        <v>84</v>
      </c>
      <c r="G1" s="28" t="s">
        <v>85</v>
      </c>
      <c r="H1" s="28" t="s">
        <v>86</v>
      </c>
      <c r="I1" s="28" t="s">
        <v>87</v>
      </c>
      <c r="J1" s="28" t="s">
        <v>88</v>
      </c>
      <c r="K1" s="28" t="s">
        <v>89</v>
      </c>
    </row>
    <row r="2" spans="1:11" ht="69.75" customHeight="1">
      <c r="A2" s="13" t="s">
        <v>5600</v>
      </c>
      <c r="B2" s="14" t="s">
        <v>5601</v>
      </c>
      <c r="C2" s="14" t="s">
        <v>5602</v>
      </c>
      <c r="D2" s="15" t="s">
        <v>28</v>
      </c>
      <c r="E2" s="13" t="s">
        <v>45</v>
      </c>
      <c r="F2" s="14" t="s">
        <v>5603</v>
      </c>
      <c r="G2" s="14" t="s">
        <v>5604</v>
      </c>
      <c r="H2" s="14" t="s">
        <v>5605</v>
      </c>
      <c r="I2" s="14"/>
      <c r="J2" s="16" t="s">
        <v>51</v>
      </c>
      <c r="K2" s="14"/>
    </row>
    <row r="3" spans="1:11" ht="27.75" customHeight="1">
      <c r="A3" s="13" t="s">
        <v>5606</v>
      </c>
      <c r="B3" s="14" t="s">
        <v>5601</v>
      </c>
      <c r="C3" s="14" t="s">
        <v>5607</v>
      </c>
      <c r="D3" s="15" t="s">
        <v>28</v>
      </c>
      <c r="E3" s="13" t="s">
        <v>45</v>
      </c>
      <c r="F3" s="14" t="s">
        <v>5608</v>
      </c>
      <c r="G3" s="14" t="s">
        <v>109</v>
      </c>
      <c r="H3" s="14" t="s">
        <v>5609</v>
      </c>
      <c r="I3" s="14"/>
      <c r="J3" s="16" t="s">
        <v>51</v>
      </c>
      <c r="K3" s="14"/>
    </row>
    <row r="4" spans="1:11" ht="27.75" customHeight="1">
      <c r="A4" s="13" t="s">
        <v>5610</v>
      </c>
      <c r="B4" s="14" t="s">
        <v>5601</v>
      </c>
      <c r="C4" s="14" t="s">
        <v>5611</v>
      </c>
      <c r="D4" s="15" t="s">
        <v>28</v>
      </c>
      <c r="E4" s="13" t="s">
        <v>46</v>
      </c>
      <c r="F4" s="14" t="s">
        <v>5612</v>
      </c>
      <c r="G4" s="14" t="s">
        <v>109</v>
      </c>
      <c r="H4" s="14" t="s">
        <v>5613</v>
      </c>
      <c r="I4" s="14"/>
      <c r="J4" s="16" t="s">
        <v>51</v>
      </c>
      <c r="K4" s="14"/>
    </row>
    <row r="5" spans="1:11" ht="42" customHeight="1">
      <c r="A5" s="13" t="s">
        <v>5614</v>
      </c>
      <c r="B5" s="14" t="s">
        <v>5601</v>
      </c>
      <c r="C5" s="14" t="s">
        <v>5615</v>
      </c>
      <c r="D5" s="15" t="s">
        <v>28</v>
      </c>
      <c r="E5" s="13" t="s">
        <v>46</v>
      </c>
      <c r="F5" s="14" t="s">
        <v>5616</v>
      </c>
      <c r="G5" s="14" t="s">
        <v>109</v>
      </c>
      <c r="H5" s="14" t="s">
        <v>5617</v>
      </c>
      <c r="I5" s="14"/>
      <c r="J5" s="16" t="s">
        <v>51</v>
      </c>
      <c r="K5" s="14"/>
    </row>
    <row r="6" spans="1:11" ht="27.75" customHeight="1">
      <c r="A6" s="13" t="s">
        <v>5618</v>
      </c>
      <c r="B6" s="14" t="s">
        <v>5601</v>
      </c>
      <c r="C6" s="14" t="s">
        <v>5619</v>
      </c>
      <c r="D6" s="15" t="s">
        <v>28</v>
      </c>
      <c r="E6" s="13" t="s">
        <v>46</v>
      </c>
      <c r="F6" s="14" t="s">
        <v>5620</v>
      </c>
      <c r="G6" s="14" t="s">
        <v>109</v>
      </c>
      <c r="H6" s="14" t="s">
        <v>5621</v>
      </c>
      <c r="I6" s="14"/>
      <c r="J6" s="16" t="s">
        <v>51</v>
      </c>
      <c r="K6" s="14"/>
    </row>
    <row r="7" spans="1:11" ht="27.75" customHeight="1">
      <c r="A7" s="13" t="s">
        <v>5622</v>
      </c>
      <c r="B7" s="14" t="s">
        <v>5601</v>
      </c>
      <c r="C7" s="14" t="s">
        <v>5623</v>
      </c>
      <c r="D7" s="15" t="s">
        <v>28</v>
      </c>
      <c r="E7" s="13" t="s">
        <v>46</v>
      </c>
      <c r="F7" s="14" t="s">
        <v>5624</v>
      </c>
      <c r="G7" s="14" t="s">
        <v>109</v>
      </c>
      <c r="H7" s="14" t="s">
        <v>5625</v>
      </c>
      <c r="I7" s="14"/>
      <c r="J7" s="16" t="s">
        <v>51</v>
      </c>
      <c r="K7" s="14"/>
    </row>
    <row r="8" spans="1:11" ht="42" customHeight="1">
      <c r="A8" s="13" t="s">
        <v>5626</v>
      </c>
      <c r="B8" s="14" t="s">
        <v>5601</v>
      </c>
      <c r="C8" s="14" t="s">
        <v>5627</v>
      </c>
      <c r="D8" s="15" t="s">
        <v>28</v>
      </c>
      <c r="E8" s="13" t="s">
        <v>46</v>
      </c>
      <c r="F8" s="14" t="s">
        <v>5628</v>
      </c>
      <c r="G8" s="14" t="s">
        <v>109</v>
      </c>
      <c r="H8" s="14" t="s">
        <v>5629</v>
      </c>
      <c r="I8" s="14"/>
      <c r="J8" s="16" t="s">
        <v>51</v>
      </c>
      <c r="K8" s="14"/>
    </row>
    <row r="9" spans="1:11" ht="55.5" customHeight="1">
      <c r="A9" s="13" t="s">
        <v>5630</v>
      </c>
      <c r="B9" s="14" t="s">
        <v>5601</v>
      </c>
      <c r="C9" s="14" t="s">
        <v>5631</v>
      </c>
      <c r="D9" s="15" t="s">
        <v>28</v>
      </c>
      <c r="E9" s="13" t="s">
        <v>47</v>
      </c>
      <c r="F9" s="14" t="s">
        <v>5632</v>
      </c>
      <c r="G9" s="14" t="s">
        <v>109</v>
      </c>
      <c r="H9" s="14" t="s">
        <v>5633</v>
      </c>
      <c r="I9" s="14"/>
      <c r="J9" s="16" t="s">
        <v>51</v>
      </c>
      <c r="K9" s="14"/>
    </row>
    <row r="10" spans="1:11" ht="55.5" customHeight="1">
      <c r="A10" s="13" t="s">
        <v>5634</v>
      </c>
      <c r="B10" s="14" t="s">
        <v>5601</v>
      </c>
      <c r="C10" s="14" t="s">
        <v>5635</v>
      </c>
      <c r="D10" s="15" t="s">
        <v>28</v>
      </c>
      <c r="E10" s="13" t="s">
        <v>47</v>
      </c>
      <c r="F10" s="14" t="s">
        <v>5636</v>
      </c>
      <c r="G10" s="14" t="s">
        <v>109</v>
      </c>
      <c r="H10" s="14" t="s">
        <v>5637</v>
      </c>
      <c r="I10" s="14"/>
      <c r="J10" s="16" t="s">
        <v>51</v>
      </c>
      <c r="K10" s="14"/>
    </row>
    <row r="11" spans="1:11" ht="84" customHeight="1">
      <c r="A11" s="17" t="s">
        <v>5638</v>
      </c>
      <c r="B11" s="18" t="s">
        <v>5601</v>
      </c>
      <c r="C11" s="18" t="s">
        <v>5639</v>
      </c>
      <c r="D11" s="19" t="s">
        <v>29</v>
      </c>
      <c r="E11" s="17" t="s">
        <v>46</v>
      </c>
      <c r="F11" s="18" t="s">
        <v>5640</v>
      </c>
      <c r="G11" s="18" t="s">
        <v>5641</v>
      </c>
      <c r="H11" s="18" t="s">
        <v>5642</v>
      </c>
      <c r="I11" s="18"/>
      <c r="J11" s="16" t="s">
        <v>51</v>
      </c>
      <c r="K11" s="18"/>
    </row>
    <row r="12" spans="1:11" ht="55.5" customHeight="1">
      <c r="A12" s="13" t="s">
        <v>5643</v>
      </c>
      <c r="B12" s="14" t="s">
        <v>5644</v>
      </c>
      <c r="C12" s="14" t="s">
        <v>5645</v>
      </c>
      <c r="D12" s="15" t="s">
        <v>28</v>
      </c>
      <c r="E12" s="13" t="s">
        <v>45</v>
      </c>
      <c r="F12" s="14" t="s">
        <v>5646</v>
      </c>
      <c r="G12" s="14" t="s">
        <v>109</v>
      </c>
      <c r="H12" s="14" t="s">
        <v>5647</v>
      </c>
      <c r="I12" s="14"/>
      <c r="J12" s="16" t="s">
        <v>51</v>
      </c>
      <c r="K12" s="14"/>
    </row>
    <row r="13" spans="1:11" ht="42" customHeight="1">
      <c r="A13" s="13" t="s">
        <v>5648</v>
      </c>
      <c r="B13" s="14" t="s">
        <v>5644</v>
      </c>
      <c r="C13" s="14" t="s">
        <v>5649</v>
      </c>
      <c r="D13" s="15" t="s">
        <v>28</v>
      </c>
      <c r="E13" s="13" t="s">
        <v>46</v>
      </c>
      <c r="F13" s="14" t="s">
        <v>5650</v>
      </c>
      <c r="G13" s="14" t="s">
        <v>109</v>
      </c>
      <c r="H13" s="14" t="s">
        <v>5651</v>
      </c>
      <c r="I13" s="14"/>
      <c r="J13" s="16" t="s">
        <v>51</v>
      </c>
      <c r="K13" s="14"/>
    </row>
    <row r="14" spans="1:11" ht="42" customHeight="1">
      <c r="A14" s="13" t="s">
        <v>5652</v>
      </c>
      <c r="B14" s="14" t="s">
        <v>5644</v>
      </c>
      <c r="C14" s="14" t="s">
        <v>5653</v>
      </c>
      <c r="D14" s="15" t="s">
        <v>28</v>
      </c>
      <c r="E14" s="13" t="s">
        <v>46</v>
      </c>
      <c r="F14" s="14" t="s">
        <v>5654</v>
      </c>
      <c r="G14" s="14" t="s">
        <v>5655</v>
      </c>
      <c r="H14" s="14" t="s">
        <v>5656</v>
      </c>
      <c r="I14" s="14"/>
      <c r="J14" s="16" t="s">
        <v>51</v>
      </c>
      <c r="K14" s="14"/>
    </row>
    <row r="15" spans="1:11" ht="42" customHeight="1">
      <c r="A15" s="13" t="s">
        <v>5657</v>
      </c>
      <c r="B15" s="14" t="s">
        <v>5644</v>
      </c>
      <c r="C15" s="14" t="s">
        <v>5658</v>
      </c>
      <c r="D15" s="15" t="s">
        <v>28</v>
      </c>
      <c r="E15" s="13" t="s">
        <v>46</v>
      </c>
      <c r="F15" s="14" t="s">
        <v>5659</v>
      </c>
      <c r="G15" s="14" t="s">
        <v>5660</v>
      </c>
      <c r="H15" s="14" t="s">
        <v>5661</v>
      </c>
      <c r="I15" s="14"/>
      <c r="J15" s="16" t="s">
        <v>51</v>
      </c>
      <c r="K15" s="14"/>
    </row>
    <row r="16" spans="1:11" ht="42" customHeight="1">
      <c r="A16" s="13" t="s">
        <v>5662</v>
      </c>
      <c r="B16" s="14" t="s">
        <v>5644</v>
      </c>
      <c r="C16" s="14" t="s">
        <v>5663</v>
      </c>
      <c r="D16" s="15" t="s">
        <v>28</v>
      </c>
      <c r="E16" s="13" t="s">
        <v>47</v>
      </c>
      <c r="F16" s="14" t="s">
        <v>5664</v>
      </c>
      <c r="G16" s="14" t="s">
        <v>5665</v>
      </c>
      <c r="H16" s="14" t="s">
        <v>5666</v>
      </c>
      <c r="I16" s="14"/>
      <c r="J16" s="16" t="s">
        <v>51</v>
      </c>
      <c r="K16" s="14"/>
    </row>
    <row r="17" spans="1:11" ht="42" customHeight="1">
      <c r="A17" s="17" t="s">
        <v>5667</v>
      </c>
      <c r="B17" s="18" t="s">
        <v>5644</v>
      </c>
      <c r="C17" s="18" t="s">
        <v>5668</v>
      </c>
      <c r="D17" s="19" t="s">
        <v>29</v>
      </c>
      <c r="E17" s="17" t="s">
        <v>46</v>
      </c>
      <c r="F17" s="18" t="s">
        <v>5669</v>
      </c>
      <c r="G17" s="18" t="s">
        <v>5670</v>
      </c>
      <c r="H17" s="18" t="s">
        <v>5671</v>
      </c>
      <c r="I17" s="18"/>
      <c r="J17" s="16" t="s">
        <v>51</v>
      </c>
      <c r="K17" s="18"/>
    </row>
    <row r="18" spans="1:11" ht="55.5" customHeight="1">
      <c r="A18" s="17" t="s">
        <v>5672</v>
      </c>
      <c r="B18" s="18" t="s">
        <v>5644</v>
      </c>
      <c r="C18" s="18" t="s">
        <v>5673</v>
      </c>
      <c r="D18" s="19" t="s">
        <v>31</v>
      </c>
      <c r="E18" s="17" t="s">
        <v>45</v>
      </c>
      <c r="F18" s="18" t="s">
        <v>5674</v>
      </c>
      <c r="G18" s="18" t="s">
        <v>5675</v>
      </c>
      <c r="H18" s="18" t="s">
        <v>5676</v>
      </c>
      <c r="I18" s="18"/>
      <c r="J18" s="16" t="s">
        <v>51</v>
      </c>
      <c r="K18" s="18"/>
    </row>
    <row r="19" spans="1:11" ht="42" customHeight="1">
      <c r="A19" s="13" t="s">
        <v>5677</v>
      </c>
      <c r="B19" s="14" t="s">
        <v>5644</v>
      </c>
      <c r="C19" s="14" t="s">
        <v>5678</v>
      </c>
      <c r="D19" s="15" t="s">
        <v>28</v>
      </c>
      <c r="E19" s="13" t="s">
        <v>47</v>
      </c>
      <c r="F19" s="14" t="s">
        <v>5679</v>
      </c>
      <c r="G19" s="14" t="s">
        <v>5680</v>
      </c>
      <c r="H19" s="14" t="s">
        <v>5681</v>
      </c>
      <c r="I19" s="14"/>
      <c r="J19" s="16" t="s">
        <v>51</v>
      </c>
      <c r="K19" s="14"/>
    </row>
    <row r="20" spans="1:11" ht="42" customHeight="1">
      <c r="A20" s="13" t="s">
        <v>5682</v>
      </c>
      <c r="B20" s="14" t="s">
        <v>5644</v>
      </c>
      <c r="C20" s="14" t="s">
        <v>5683</v>
      </c>
      <c r="D20" s="15" t="s">
        <v>28</v>
      </c>
      <c r="E20" s="13" t="s">
        <v>47</v>
      </c>
      <c r="F20" s="14" t="s">
        <v>5684</v>
      </c>
      <c r="G20" s="14" t="s">
        <v>109</v>
      </c>
      <c r="H20" s="14" t="s">
        <v>5685</v>
      </c>
      <c r="I20" s="14"/>
      <c r="J20" s="16" t="s">
        <v>51</v>
      </c>
      <c r="K20" s="14"/>
    </row>
    <row r="21" spans="1:11" ht="55.5" customHeight="1">
      <c r="A21" s="17" t="s">
        <v>5686</v>
      </c>
      <c r="B21" s="18" t="s">
        <v>5644</v>
      </c>
      <c r="C21" s="18" t="s">
        <v>5687</v>
      </c>
      <c r="D21" s="19" t="s">
        <v>31</v>
      </c>
      <c r="E21" s="17" t="s">
        <v>47</v>
      </c>
      <c r="F21" s="18" t="s">
        <v>5688</v>
      </c>
      <c r="G21" s="18" t="s">
        <v>109</v>
      </c>
      <c r="H21" s="18" t="s">
        <v>5689</v>
      </c>
      <c r="I21" s="18"/>
      <c r="J21" s="16" t="s">
        <v>51</v>
      </c>
      <c r="K21" s="18"/>
    </row>
    <row r="22" spans="1:11" ht="42" customHeight="1">
      <c r="A22" s="13" t="s">
        <v>5690</v>
      </c>
      <c r="B22" s="14" t="s">
        <v>5691</v>
      </c>
      <c r="C22" s="14" t="s">
        <v>5692</v>
      </c>
      <c r="D22" s="15" t="s">
        <v>28</v>
      </c>
      <c r="E22" s="13" t="s">
        <v>45</v>
      </c>
      <c r="F22" s="14" t="s">
        <v>5693</v>
      </c>
      <c r="G22" s="14" t="s">
        <v>109</v>
      </c>
      <c r="H22" s="14" t="s">
        <v>5694</v>
      </c>
      <c r="I22" s="14"/>
      <c r="J22" s="16" t="s">
        <v>51</v>
      </c>
      <c r="K22" s="14"/>
    </row>
    <row r="23" spans="1:11" ht="55.5" customHeight="1">
      <c r="A23" s="13" t="s">
        <v>5695</v>
      </c>
      <c r="B23" s="14" t="s">
        <v>5691</v>
      </c>
      <c r="C23" s="14" t="s">
        <v>5696</v>
      </c>
      <c r="D23" s="15" t="s">
        <v>28</v>
      </c>
      <c r="E23" s="13" t="s">
        <v>45</v>
      </c>
      <c r="F23" s="14" t="s">
        <v>5697</v>
      </c>
      <c r="G23" s="14" t="s">
        <v>109</v>
      </c>
      <c r="H23" s="14" t="s">
        <v>5698</v>
      </c>
      <c r="I23" s="14"/>
      <c r="J23" s="16" t="s">
        <v>51</v>
      </c>
      <c r="K23" s="14"/>
    </row>
    <row r="24" spans="1:11" ht="55.5" customHeight="1">
      <c r="A24" s="17" t="s">
        <v>5699</v>
      </c>
      <c r="B24" s="18" t="s">
        <v>5691</v>
      </c>
      <c r="C24" s="18" t="s">
        <v>5700</v>
      </c>
      <c r="D24" s="19" t="s">
        <v>31</v>
      </c>
      <c r="E24" s="17" t="s">
        <v>45</v>
      </c>
      <c r="F24" s="18" t="s">
        <v>5701</v>
      </c>
      <c r="G24" s="18" t="s">
        <v>5702</v>
      </c>
      <c r="H24" s="18" t="s">
        <v>5703</v>
      </c>
      <c r="I24" s="18"/>
      <c r="J24" s="16" t="s">
        <v>51</v>
      </c>
      <c r="K24" s="18"/>
    </row>
    <row r="25" spans="1:11" ht="55.5" customHeight="1">
      <c r="A25" s="13" t="s">
        <v>5704</v>
      </c>
      <c r="B25" s="14" t="s">
        <v>5691</v>
      </c>
      <c r="C25" s="14" t="s">
        <v>5705</v>
      </c>
      <c r="D25" s="15" t="s">
        <v>28</v>
      </c>
      <c r="E25" s="13" t="s">
        <v>45</v>
      </c>
      <c r="F25" s="14" t="s">
        <v>5706</v>
      </c>
      <c r="G25" s="14" t="s">
        <v>5707</v>
      </c>
      <c r="H25" s="14" t="s">
        <v>5708</v>
      </c>
      <c r="I25" s="14"/>
      <c r="J25" s="16" t="s">
        <v>51</v>
      </c>
      <c r="K25" s="14"/>
    </row>
    <row r="26" spans="1:11" ht="84" customHeight="1">
      <c r="A26" s="13" t="s">
        <v>5709</v>
      </c>
      <c r="B26" s="14" t="s">
        <v>5691</v>
      </c>
      <c r="C26" s="14" t="s">
        <v>5710</v>
      </c>
      <c r="D26" s="15" t="s">
        <v>28</v>
      </c>
      <c r="E26" s="13" t="s">
        <v>45</v>
      </c>
      <c r="F26" s="14" t="s">
        <v>5711</v>
      </c>
      <c r="G26" s="14" t="s">
        <v>5707</v>
      </c>
      <c r="H26" s="14" t="s">
        <v>5712</v>
      </c>
      <c r="I26" s="14"/>
      <c r="J26" s="16" t="s">
        <v>51</v>
      </c>
      <c r="K26" s="14"/>
    </row>
    <row r="27" spans="1:11" ht="55.5" customHeight="1">
      <c r="A27" s="17" t="s">
        <v>5713</v>
      </c>
      <c r="B27" s="18" t="s">
        <v>5691</v>
      </c>
      <c r="C27" s="18" t="s">
        <v>5714</v>
      </c>
      <c r="D27" s="19" t="s">
        <v>29</v>
      </c>
      <c r="E27" s="17" t="s">
        <v>46</v>
      </c>
      <c r="F27" s="18" t="s">
        <v>5715</v>
      </c>
      <c r="G27" s="18" t="s">
        <v>5707</v>
      </c>
      <c r="H27" s="18" t="s">
        <v>5716</v>
      </c>
      <c r="I27" s="18"/>
      <c r="J27" s="16" t="s">
        <v>51</v>
      </c>
      <c r="K27" s="18"/>
    </row>
    <row r="28" spans="1:11" ht="27.75" customHeight="1">
      <c r="A28" s="13" t="s">
        <v>5717</v>
      </c>
      <c r="B28" s="14" t="s">
        <v>5691</v>
      </c>
      <c r="C28" s="14" t="s">
        <v>5718</v>
      </c>
      <c r="D28" s="15" t="s">
        <v>28</v>
      </c>
      <c r="E28" s="13" t="s">
        <v>46</v>
      </c>
      <c r="F28" s="14" t="s">
        <v>5719</v>
      </c>
      <c r="G28" s="14" t="s">
        <v>109</v>
      </c>
      <c r="H28" s="14" t="s">
        <v>5720</v>
      </c>
      <c r="I28" s="14"/>
      <c r="J28" s="16" t="s">
        <v>51</v>
      </c>
      <c r="K28" s="14"/>
    </row>
    <row r="29" spans="1:11" ht="55.5" customHeight="1">
      <c r="A29" s="17" t="s">
        <v>5721</v>
      </c>
      <c r="B29" s="18" t="s">
        <v>5691</v>
      </c>
      <c r="C29" s="18" t="s">
        <v>5722</v>
      </c>
      <c r="D29" s="19" t="s">
        <v>31</v>
      </c>
      <c r="E29" s="17" t="s">
        <v>46</v>
      </c>
      <c r="F29" s="18" t="s">
        <v>5723</v>
      </c>
      <c r="G29" s="18" t="s">
        <v>109</v>
      </c>
      <c r="H29" s="18" t="s">
        <v>5724</v>
      </c>
      <c r="I29" s="18"/>
      <c r="J29" s="16" t="s">
        <v>51</v>
      </c>
      <c r="K29" s="18"/>
    </row>
    <row r="30" spans="1:11" ht="42" customHeight="1">
      <c r="A30" s="13" t="s">
        <v>5725</v>
      </c>
      <c r="B30" s="14" t="s">
        <v>5691</v>
      </c>
      <c r="C30" s="14" t="s">
        <v>5726</v>
      </c>
      <c r="D30" s="15" t="s">
        <v>28</v>
      </c>
      <c r="E30" s="13" t="s">
        <v>46</v>
      </c>
      <c r="F30" s="14" t="s">
        <v>5727</v>
      </c>
      <c r="G30" s="14" t="s">
        <v>109</v>
      </c>
      <c r="H30" s="14" t="s">
        <v>5728</v>
      </c>
      <c r="I30" s="14"/>
      <c r="J30" s="16" t="s">
        <v>51</v>
      </c>
      <c r="K30" s="14" t="s">
        <v>5729</v>
      </c>
    </row>
    <row r="31" spans="1:11" ht="55.5" customHeight="1">
      <c r="A31" s="13" t="s">
        <v>5730</v>
      </c>
      <c r="B31" s="14" t="s">
        <v>5731</v>
      </c>
      <c r="C31" s="14" t="s">
        <v>5732</v>
      </c>
      <c r="D31" s="15" t="s">
        <v>28</v>
      </c>
      <c r="E31" s="13" t="s">
        <v>45</v>
      </c>
      <c r="F31" s="14" t="s">
        <v>5733</v>
      </c>
      <c r="G31" s="14" t="s">
        <v>109</v>
      </c>
      <c r="H31" s="14" t="s">
        <v>5734</v>
      </c>
      <c r="I31" s="14"/>
      <c r="J31" s="16" t="s">
        <v>51</v>
      </c>
      <c r="K31" s="14"/>
    </row>
    <row r="32" spans="1:11" ht="55.5" customHeight="1">
      <c r="A32" s="13" t="s">
        <v>5735</v>
      </c>
      <c r="B32" s="14" t="s">
        <v>5731</v>
      </c>
      <c r="C32" s="14" t="s">
        <v>5736</v>
      </c>
      <c r="D32" s="15" t="s">
        <v>28</v>
      </c>
      <c r="E32" s="13" t="s">
        <v>46</v>
      </c>
      <c r="F32" s="14" t="s">
        <v>5737</v>
      </c>
      <c r="G32" s="14" t="s">
        <v>109</v>
      </c>
      <c r="H32" s="14" t="s">
        <v>5738</v>
      </c>
      <c r="I32" s="14"/>
      <c r="J32" s="16" t="s">
        <v>51</v>
      </c>
      <c r="K32" s="14"/>
    </row>
    <row r="33" spans="1:11" ht="27.75" customHeight="1">
      <c r="A33" s="13" t="s">
        <v>5739</v>
      </c>
      <c r="B33" s="14" t="s">
        <v>5731</v>
      </c>
      <c r="C33" s="14" t="s">
        <v>5740</v>
      </c>
      <c r="D33" s="15" t="s">
        <v>28</v>
      </c>
      <c r="E33" s="13" t="s">
        <v>47</v>
      </c>
      <c r="F33" s="14" t="s">
        <v>5741</v>
      </c>
      <c r="G33" s="14" t="s">
        <v>109</v>
      </c>
      <c r="H33" s="14" t="s">
        <v>5742</v>
      </c>
      <c r="I33" s="14"/>
      <c r="J33" s="16" t="s">
        <v>51</v>
      </c>
      <c r="K33" s="14"/>
    </row>
    <row r="34" spans="1:11" ht="42" customHeight="1">
      <c r="A34" s="13" t="s">
        <v>5743</v>
      </c>
      <c r="B34" s="14" t="s">
        <v>5731</v>
      </c>
      <c r="C34" s="14" t="s">
        <v>5744</v>
      </c>
      <c r="D34" s="15" t="s">
        <v>28</v>
      </c>
      <c r="E34" s="13" t="s">
        <v>46</v>
      </c>
      <c r="F34" s="14" t="s">
        <v>5745</v>
      </c>
      <c r="G34" s="14" t="s">
        <v>109</v>
      </c>
      <c r="H34" s="14" t="s">
        <v>5746</v>
      </c>
      <c r="I34" s="14"/>
      <c r="J34" s="16" t="s">
        <v>51</v>
      </c>
      <c r="K34" s="14"/>
    </row>
    <row r="35" spans="1:11" ht="42" customHeight="1">
      <c r="A35" s="13" t="s">
        <v>5747</v>
      </c>
      <c r="B35" s="14" t="s">
        <v>5731</v>
      </c>
      <c r="C35" s="14" t="s">
        <v>5748</v>
      </c>
      <c r="D35" s="15" t="s">
        <v>28</v>
      </c>
      <c r="E35" s="13" t="s">
        <v>47</v>
      </c>
      <c r="F35" s="14" t="s">
        <v>5749</v>
      </c>
      <c r="G35" s="14" t="s">
        <v>109</v>
      </c>
      <c r="H35" s="14" t="s">
        <v>5750</v>
      </c>
      <c r="I35" s="14"/>
      <c r="J35" s="16" t="s">
        <v>51</v>
      </c>
      <c r="K35" s="14"/>
    </row>
    <row r="36" spans="1:11" ht="42" customHeight="1">
      <c r="A36" s="13" t="s">
        <v>5751</v>
      </c>
      <c r="B36" s="14" t="s">
        <v>5731</v>
      </c>
      <c r="C36" s="14" t="s">
        <v>5752</v>
      </c>
      <c r="D36" s="15" t="s">
        <v>28</v>
      </c>
      <c r="E36" s="13" t="s">
        <v>45</v>
      </c>
      <c r="F36" s="14" t="s">
        <v>5753</v>
      </c>
      <c r="G36" s="14" t="s">
        <v>109</v>
      </c>
      <c r="H36" s="14" t="s">
        <v>5754</v>
      </c>
      <c r="I36" s="14"/>
      <c r="J36" s="16" t="s">
        <v>51</v>
      </c>
      <c r="K36" s="14"/>
    </row>
    <row r="37" spans="1:11" ht="27.75" customHeight="1">
      <c r="A37" s="17" t="s">
        <v>5755</v>
      </c>
      <c r="B37" s="18" t="s">
        <v>5731</v>
      </c>
      <c r="C37" s="18" t="s">
        <v>5756</v>
      </c>
      <c r="D37" s="19" t="s">
        <v>31</v>
      </c>
      <c r="E37" s="17" t="s">
        <v>46</v>
      </c>
      <c r="F37" s="18" t="s">
        <v>5757</v>
      </c>
      <c r="G37" s="18" t="s">
        <v>109</v>
      </c>
      <c r="H37" s="18" t="s">
        <v>5758</v>
      </c>
      <c r="I37" s="18"/>
      <c r="J37" s="16" t="s">
        <v>51</v>
      </c>
      <c r="K37" s="18"/>
    </row>
    <row r="38" spans="1:11" ht="42" customHeight="1">
      <c r="A38" s="13" t="s">
        <v>5759</v>
      </c>
      <c r="B38" s="14" t="s">
        <v>5760</v>
      </c>
      <c r="C38" s="14" t="s">
        <v>5761</v>
      </c>
      <c r="D38" s="15" t="s">
        <v>28</v>
      </c>
      <c r="E38" s="13" t="s">
        <v>45</v>
      </c>
      <c r="F38" s="14" t="s">
        <v>5762</v>
      </c>
      <c r="G38" s="14" t="s">
        <v>109</v>
      </c>
      <c r="H38" s="14" t="s">
        <v>5763</v>
      </c>
      <c r="I38" s="14"/>
      <c r="J38" s="16" t="s">
        <v>51</v>
      </c>
      <c r="K38" s="14"/>
    </row>
    <row r="39" spans="1:11" ht="42" customHeight="1">
      <c r="A39" s="13" t="s">
        <v>5764</v>
      </c>
      <c r="B39" s="14" t="s">
        <v>5760</v>
      </c>
      <c r="C39" s="14" t="s">
        <v>5765</v>
      </c>
      <c r="D39" s="15" t="s">
        <v>28</v>
      </c>
      <c r="E39" s="13" t="s">
        <v>45</v>
      </c>
      <c r="F39" s="14" t="s">
        <v>5766</v>
      </c>
      <c r="G39" s="14" t="s">
        <v>109</v>
      </c>
      <c r="H39" s="14" t="s">
        <v>5767</v>
      </c>
      <c r="I39" s="14"/>
      <c r="J39" s="16" t="s">
        <v>51</v>
      </c>
      <c r="K39" s="14"/>
    </row>
    <row r="40" spans="1:11" ht="27.75" customHeight="1">
      <c r="A40" s="13" t="s">
        <v>5768</v>
      </c>
      <c r="B40" s="14" t="s">
        <v>5760</v>
      </c>
      <c r="C40" s="14" t="s">
        <v>5769</v>
      </c>
      <c r="D40" s="15" t="s">
        <v>28</v>
      </c>
      <c r="E40" s="13" t="s">
        <v>46</v>
      </c>
      <c r="F40" s="14" t="s">
        <v>5770</v>
      </c>
      <c r="G40" s="14" t="s">
        <v>5771</v>
      </c>
      <c r="H40" s="14" t="s">
        <v>5772</v>
      </c>
      <c r="I40" s="14"/>
      <c r="J40" s="16" t="s">
        <v>51</v>
      </c>
      <c r="K40" s="14"/>
    </row>
    <row r="41" spans="1:11" ht="42" customHeight="1">
      <c r="A41" s="17" t="s">
        <v>5773</v>
      </c>
      <c r="B41" s="18" t="s">
        <v>5760</v>
      </c>
      <c r="C41" s="18" t="s">
        <v>5774</v>
      </c>
      <c r="D41" s="19" t="s">
        <v>31</v>
      </c>
      <c r="E41" s="17" t="s">
        <v>45</v>
      </c>
      <c r="F41" s="18" t="s">
        <v>5775</v>
      </c>
      <c r="G41" s="18" t="s">
        <v>5530</v>
      </c>
      <c r="H41" s="18" t="s">
        <v>5776</v>
      </c>
      <c r="I41" s="18"/>
      <c r="J41" s="16" t="s">
        <v>51</v>
      </c>
      <c r="K41" s="18"/>
    </row>
    <row r="42" spans="1:11" ht="55.5" customHeight="1">
      <c r="A42" s="17" t="s">
        <v>5777</v>
      </c>
      <c r="B42" s="18" t="s">
        <v>5760</v>
      </c>
      <c r="C42" s="18" t="s">
        <v>5778</v>
      </c>
      <c r="D42" s="19" t="s">
        <v>31</v>
      </c>
      <c r="E42" s="17" t="s">
        <v>45</v>
      </c>
      <c r="F42" s="18" t="s">
        <v>5779</v>
      </c>
      <c r="G42" s="18" t="s">
        <v>5780</v>
      </c>
      <c r="H42" s="18" t="s">
        <v>5781</v>
      </c>
      <c r="I42" s="18"/>
      <c r="J42" s="16" t="s">
        <v>51</v>
      </c>
      <c r="K42" s="18"/>
    </row>
    <row r="43" spans="1:11" ht="55.5" customHeight="1">
      <c r="A43" s="17" t="s">
        <v>5782</v>
      </c>
      <c r="B43" s="18" t="s">
        <v>5760</v>
      </c>
      <c r="C43" s="18" t="s">
        <v>5783</v>
      </c>
      <c r="D43" s="19" t="s">
        <v>31</v>
      </c>
      <c r="E43" s="17" t="s">
        <v>45</v>
      </c>
      <c r="F43" s="18" t="s">
        <v>5784</v>
      </c>
      <c r="G43" s="18" t="s">
        <v>5785</v>
      </c>
      <c r="H43" s="18" t="s">
        <v>5786</v>
      </c>
      <c r="I43" s="18"/>
      <c r="J43" s="16" t="s">
        <v>51</v>
      </c>
      <c r="K43" s="18"/>
    </row>
    <row r="44" spans="1:11" ht="55.5" customHeight="1">
      <c r="A44" s="17" t="s">
        <v>5787</v>
      </c>
      <c r="B44" s="18" t="s">
        <v>5760</v>
      </c>
      <c r="C44" s="18" t="s">
        <v>5788</v>
      </c>
      <c r="D44" s="19" t="s">
        <v>31</v>
      </c>
      <c r="E44" s="17" t="s">
        <v>46</v>
      </c>
      <c r="F44" s="18" t="s">
        <v>5789</v>
      </c>
      <c r="G44" s="18" t="s">
        <v>5790</v>
      </c>
      <c r="H44" s="18" t="s">
        <v>5791</v>
      </c>
      <c r="I44" s="18"/>
      <c r="J44" s="16" t="s">
        <v>51</v>
      </c>
      <c r="K44" s="18"/>
    </row>
    <row r="45" spans="1:11" ht="55.5" customHeight="1">
      <c r="A45" s="17" t="s">
        <v>5792</v>
      </c>
      <c r="B45" s="18" t="s">
        <v>5760</v>
      </c>
      <c r="C45" s="18" t="s">
        <v>5793</v>
      </c>
      <c r="D45" s="19" t="s">
        <v>31</v>
      </c>
      <c r="E45" s="17" t="s">
        <v>45</v>
      </c>
      <c r="F45" s="18" t="s">
        <v>5794</v>
      </c>
      <c r="G45" s="18" t="s">
        <v>5795</v>
      </c>
      <c r="H45" s="18" t="s">
        <v>5796</v>
      </c>
      <c r="I45" s="18"/>
      <c r="J45" s="16" t="s">
        <v>51</v>
      </c>
      <c r="K45" s="18"/>
    </row>
    <row r="46" spans="1:11" ht="42" customHeight="1">
      <c r="A46" s="17" t="s">
        <v>5797</v>
      </c>
      <c r="B46" s="18" t="s">
        <v>5760</v>
      </c>
      <c r="C46" s="18" t="s">
        <v>5798</v>
      </c>
      <c r="D46" s="19" t="s">
        <v>31</v>
      </c>
      <c r="E46" s="17" t="s">
        <v>45</v>
      </c>
      <c r="F46" s="18" t="s">
        <v>5799</v>
      </c>
      <c r="G46" s="18" t="s">
        <v>5587</v>
      </c>
      <c r="H46" s="18" t="s">
        <v>5800</v>
      </c>
      <c r="I46" s="18"/>
      <c r="J46" s="16" t="s">
        <v>51</v>
      </c>
      <c r="K46" s="18"/>
    </row>
    <row r="47" spans="1:11" ht="42" customHeight="1">
      <c r="A47" s="13" t="s">
        <v>5801</v>
      </c>
      <c r="B47" s="14" t="s">
        <v>5760</v>
      </c>
      <c r="C47" s="14" t="s">
        <v>5802</v>
      </c>
      <c r="D47" s="15" t="s">
        <v>28</v>
      </c>
      <c r="E47" s="13" t="s">
        <v>46</v>
      </c>
      <c r="F47" s="14" t="s">
        <v>5803</v>
      </c>
      <c r="G47" s="14" t="s">
        <v>5804</v>
      </c>
      <c r="H47" s="14" t="s">
        <v>5805</v>
      </c>
      <c r="I47" s="14"/>
      <c r="J47" s="16" t="s">
        <v>51</v>
      </c>
      <c r="K47" s="14"/>
    </row>
    <row r="48" spans="1:11" ht="42" customHeight="1">
      <c r="A48" s="13" t="s">
        <v>5806</v>
      </c>
      <c r="B48" s="14" t="s">
        <v>5760</v>
      </c>
      <c r="C48" s="14" t="s">
        <v>5807</v>
      </c>
      <c r="D48" s="15" t="s">
        <v>28</v>
      </c>
      <c r="E48" s="13" t="s">
        <v>46</v>
      </c>
      <c r="F48" s="14" t="s">
        <v>5808</v>
      </c>
      <c r="G48" s="14" t="s">
        <v>109</v>
      </c>
      <c r="H48" s="14" t="s">
        <v>5809</v>
      </c>
      <c r="I48" s="14"/>
      <c r="J48" s="16" t="s">
        <v>51</v>
      </c>
      <c r="K48" s="14"/>
    </row>
    <row r="49" spans="1:11" ht="42" customHeight="1">
      <c r="A49" s="13" t="s">
        <v>5810</v>
      </c>
      <c r="B49" s="14" t="s">
        <v>5760</v>
      </c>
      <c r="C49" s="14" t="s">
        <v>5811</v>
      </c>
      <c r="D49" s="15" t="s">
        <v>28</v>
      </c>
      <c r="E49" s="13" t="s">
        <v>45</v>
      </c>
      <c r="F49" s="14" t="s">
        <v>5812</v>
      </c>
      <c r="G49" s="14" t="s">
        <v>5813</v>
      </c>
      <c r="H49" s="14" t="s">
        <v>5814</v>
      </c>
      <c r="I49" s="14"/>
      <c r="J49" s="16" t="s">
        <v>51</v>
      </c>
      <c r="K49" s="14"/>
    </row>
    <row r="50" spans="1:11" ht="42" customHeight="1">
      <c r="A50" s="13" t="s">
        <v>5815</v>
      </c>
      <c r="B50" s="14" t="s">
        <v>5760</v>
      </c>
      <c r="C50" s="14" t="s">
        <v>5816</v>
      </c>
      <c r="D50" s="15" t="s">
        <v>28</v>
      </c>
      <c r="E50" s="13" t="s">
        <v>46</v>
      </c>
      <c r="F50" s="14" t="s">
        <v>5817</v>
      </c>
      <c r="G50" s="14" t="s">
        <v>109</v>
      </c>
      <c r="H50" s="14" t="s">
        <v>5818</v>
      </c>
      <c r="I50" s="14"/>
      <c r="J50" s="16" t="s">
        <v>51</v>
      </c>
      <c r="K50" s="14"/>
    </row>
    <row r="51" spans="1:11" ht="55.5" customHeight="1">
      <c r="A51" s="13" t="s">
        <v>5819</v>
      </c>
      <c r="B51" s="14" t="s">
        <v>5820</v>
      </c>
      <c r="C51" s="14" t="s">
        <v>5821</v>
      </c>
      <c r="D51" s="15" t="s">
        <v>28</v>
      </c>
      <c r="E51" s="13" t="s">
        <v>45</v>
      </c>
      <c r="F51" s="14" t="s">
        <v>5822</v>
      </c>
      <c r="G51" s="14" t="s">
        <v>5823</v>
      </c>
      <c r="H51" s="14" t="s">
        <v>5824</v>
      </c>
      <c r="I51" s="14"/>
      <c r="J51" s="16" t="s">
        <v>51</v>
      </c>
      <c r="K51" s="14"/>
    </row>
    <row r="52" spans="1:11" ht="27.75" customHeight="1">
      <c r="A52" s="13" t="s">
        <v>5825</v>
      </c>
      <c r="B52" s="14" t="s">
        <v>5820</v>
      </c>
      <c r="C52" s="14" t="s">
        <v>5826</v>
      </c>
      <c r="D52" s="15" t="s">
        <v>28</v>
      </c>
      <c r="E52" s="13" t="s">
        <v>46</v>
      </c>
      <c r="F52" s="14" t="s">
        <v>5827</v>
      </c>
      <c r="G52" s="14" t="s">
        <v>109</v>
      </c>
      <c r="H52" s="14" t="s">
        <v>5828</v>
      </c>
      <c r="I52" s="14"/>
      <c r="J52" s="16" t="s">
        <v>51</v>
      </c>
      <c r="K52" s="14"/>
    </row>
    <row r="53" spans="1:11" ht="55.5" customHeight="1">
      <c r="A53" s="13" t="s">
        <v>5829</v>
      </c>
      <c r="B53" s="14" t="s">
        <v>5820</v>
      </c>
      <c r="C53" s="14" t="s">
        <v>5830</v>
      </c>
      <c r="D53" s="15" t="s">
        <v>28</v>
      </c>
      <c r="E53" s="13" t="s">
        <v>45</v>
      </c>
      <c r="F53" s="14" t="s">
        <v>5831</v>
      </c>
      <c r="G53" s="14" t="s">
        <v>109</v>
      </c>
      <c r="H53" s="14" t="s">
        <v>5832</v>
      </c>
      <c r="I53" s="14"/>
      <c r="J53" s="16" t="s">
        <v>51</v>
      </c>
      <c r="K53" s="14"/>
    </row>
    <row r="54" spans="1:11" ht="55.5" customHeight="1">
      <c r="A54" s="17" t="s">
        <v>5833</v>
      </c>
      <c r="B54" s="18" t="s">
        <v>5820</v>
      </c>
      <c r="C54" s="18" t="s">
        <v>5834</v>
      </c>
      <c r="D54" s="19" t="s">
        <v>29</v>
      </c>
      <c r="E54" s="17" t="s">
        <v>45</v>
      </c>
      <c r="F54" s="18" t="s">
        <v>5835</v>
      </c>
      <c r="G54" s="18" t="s">
        <v>5836</v>
      </c>
      <c r="H54" s="18" t="s">
        <v>5837</v>
      </c>
      <c r="I54" s="18"/>
      <c r="J54" s="16" t="s">
        <v>51</v>
      </c>
      <c r="K54" s="18"/>
    </row>
    <row r="55" spans="1:11" ht="27.75" customHeight="1">
      <c r="A55" s="17" t="s">
        <v>5838</v>
      </c>
      <c r="B55" s="18" t="s">
        <v>5820</v>
      </c>
      <c r="C55" s="18" t="s">
        <v>5839</v>
      </c>
      <c r="D55" s="19" t="s">
        <v>29</v>
      </c>
      <c r="E55" s="17" t="s">
        <v>45</v>
      </c>
      <c r="F55" s="18" t="s">
        <v>5840</v>
      </c>
      <c r="G55" s="18" t="s">
        <v>5841</v>
      </c>
      <c r="H55" s="18" t="s">
        <v>5842</v>
      </c>
      <c r="I55" s="18"/>
      <c r="J55" s="16" t="s">
        <v>51</v>
      </c>
      <c r="K55" s="18"/>
    </row>
    <row r="56" spans="1:11" ht="42" customHeight="1">
      <c r="A56" s="17" t="s">
        <v>5843</v>
      </c>
      <c r="B56" s="18" t="s">
        <v>5820</v>
      </c>
      <c r="C56" s="18" t="s">
        <v>5844</v>
      </c>
      <c r="D56" s="19" t="s">
        <v>29</v>
      </c>
      <c r="E56" s="17" t="s">
        <v>46</v>
      </c>
      <c r="F56" s="18" t="s">
        <v>5845</v>
      </c>
      <c r="G56" s="18" t="s">
        <v>5846</v>
      </c>
      <c r="H56" s="18" t="s">
        <v>5847</v>
      </c>
      <c r="I56" s="18"/>
      <c r="J56" s="16" t="s">
        <v>51</v>
      </c>
      <c r="K56" s="18"/>
    </row>
    <row r="57" spans="1:11" ht="27.75" customHeight="1">
      <c r="A57" s="17" t="s">
        <v>5848</v>
      </c>
      <c r="B57" s="18" t="s">
        <v>5820</v>
      </c>
      <c r="C57" s="18" t="s">
        <v>5849</v>
      </c>
      <c r="D57" s="19" t="s">
        <v>29</v>
      </c>
      <c r="E57" s="17" t="s">
        <v>46</v>
      </c>
      <c r="F57" s="18" t="s">
        <v>5850</v>
      </c>
      <c r="G57" s="18" t="s">
        <v>5851</v>
      </c>
      <c r="H57" s="18" t="s">
        <v>5852</v>
      </c>
      <c r="I57" s="18"/>
      <c r="J57" s="16" t="s">
        <v>51</v>
      </c>
      <c r="K57" s="18"/>
    </row>
    <row r="58" spans="1:11" ht="27.75" customHeight="1">
      <c r="A58" s="17" t="s">
        <v>5853</v>
      </c>
      <c r="B58" s="18" t="s">
        <v>5820</v>
      </c>
      <c r="C58" s="18" t="s">
        <v>5854</v>
      </c>
      <c r="D58" s="19" t="s">
        <v>29</v>
      </c>
      <c r="E58" s="17" t="s">
        <v>46</v>
      </c>
      <c r="F58" s="18" t="s">
        <v>5855</v>
      </c>
      <c r="G58" s="18" t="s">
        <v>5856</v>
      </c>
      <c r="H58" s="18" t="s">
        <v>5857</v>
      </c>
      <c r="I58" s="18"/>
      <c r="J58" s="16" t="s">
        <v>51</v>
      </c>
      <c r="K58" s="18"/>
    </row>
    <row r="59" spans="1:11" ht="27.75" customHeight="1">
      <c r="A59" s="17" t="s">
        <v>5858</v>
      </c>
      <c r="B59" s="18" t="s">
        <v>5820</v>
      </c>
      <c r="C59" s="18" t="s">
        <v>5859</v>
      </c>
      <c r="D59" s="19" t="s">
        <v>31</v>
      </c>
      <c r="E59" s="17" t="s">
        <v>45</v>
      </c>
      <c r="F59" s="18" t="s">
        <v>5860</v>
      </c>
      <c r="G59" s="18" t="s">
        <v>5861</v>
      </c>
      <c r="H59" s="18" t="s">
        <v>5862</v>
      </c>
      <c r="I59" s="18"/>
      <c r="J59" s="16" t="s">
        <v>51</v>
      </c>
      <c r="K59" s="18"/>
    </row>
    <row r="60" spans="1:11" ht="42" customHeight="1">
      <c r="A60" s="17" t="s">
        <v>5863</v>
      </c>
      <c r="B60" s="18" t="s">
        <v>5820</v>
      </c>
      <c r="C60" s="18" t="s">
        <v>5864</v>
      </c>
      <c r="D60" s="19" t="s">
        <v>31</v>
      </c>
      <c r="E60" s="17" t="s">
        <v>46</v>
      </c>
      <c r="F60" s="18" t="s">
        <v>5865</v>
      </c>
      <c r="G60" s="18" t="s">
        <v>5866</v>
      </c>
      <c r="H60" s="18" t="s">
        <v>5867</v>
      </c>
      <c r="I60" s="18"/>
      <c r="J60" s="16" t="s">
        <v>51</v>
      </c>
      <c r="K60" s="18"/>
    </row>
    <row r="61" spans="1:11" ht="69.75" customHeight="1">
      <c r="A61" s="17" t="s">
        <v>5868</v>
      </c>
      <c r="B61" s="18" t="s">
        <v>5820</v>
      </c>
      <c r="C61" s="18" t="s">
        <v>5869</v>
      </c>
      <c r="D61" s="19" t="s">
        <v>29</v>
      </c>
      <c r="E61" s="17" t="s">
        <v>46</v>
      </c>
      <c r="F61" s="18" t="s">
        <v>5870</v>
      </c>
      <c r="G61" s="18" t="s">
        <v>109</v>
      </c>
      <c r="H61" s="18" t="s">
        <v>5871</v>
      </c>
      <c r="I61" s="18"/>
      <c r="J61" s="16" t="s">
        <v>51</v>
      </c>
      <c r="K61" s="18"/>
    </row>
    <row r="62" spans="1:11" ht="55.5" customHeight="1">
      <c r="A62" s="17" t="s">
        <v>5872</v>
      </c>
      <c r="B62" s="18" t="s">
        <v>5820</v>
      </c>
      <c r="C62" s="18" t="s">
        <v>5873</v>
      </c>
      <c r="D62" s="19" t="s">
        <v>31</v>
      </c>
      <c r="E62" s="17" t="s">
        <v>46</v>
      </c>
      <c r="F62" s="18" t="s">
        <v>5874</v>
      </c>
      <c r="G62" s="18" t="s">
        <v>5875</v>
      </c>
      <c r="H62" s="18" t="s">
        <v>5876</v>
      </c>
      <c r="I62" s="18"/>
      <c r="J62" s="16" t="s">
        <v>51</v>
      </c>
      <c r="K62" s="18" t="s">
        <v>5877</v>
      </c>
    </row>
    <row r="63" spans="1:11" ht="55.5" customHeight="1">
      <c r="A63" s="13" t="s">
        <v>5878</v>
      </c>
      <c r="B63" s="14" t="s">
        <v>5879</v>
      </c>
      <c r="C63" s="14" t="s">
        <v>5880</v>
      </c>
      <c r="D63" s="15" t="s">
        <v>28</v>
      </c>
      <c r="E63" s="13" t="s">
        <v>45</v>
      </c>
      <c r="F63" s="14" t="s">
        <v>5881</v>
      </c>
      <c r="G63" s="14" t="s">
        <v>109</v>
      </c>
      <c r="H63" s="14" t="s">
        <v>5882</v>
      </c>
      <c r="I63" s="14"/>
      <c r="J63" s="16" t="s">
        <v>51</v>
      </c>
      <c r="K63" s="14"/>
    </row>
    <row r="64" spans="1:11" ht="42" customHeight="1">
      <c r="A64" s="13" t="s">
        <v>5883</v>
      </c>
      <c r="B64" s="14" t="s">
        <v>5879</v>
      </c>
      <c r="C64" s="14" t="s">
        <v>5884</v>
      </c>
      <c r="D64" s="15" t="s">
        <v>28</v>
      </c>
      <c r="E64" s="13" t="s">
        <v>46</v>
      </c>
      <c r="F64" s="14" t="s">
        <v>5885</v>
      </c>
      <c r="G64" s="14" t="s">
        <v>109</v>
      </c>
      <c r="H64" s="14" t="s">
        <v>5886</v>
      </c>
      <c r="I64" s="14"/>
      <c r="J64" s="16" t="s">
        <v>51</v>
      </c>
      <c r="K64" s="14"/>
    </row>
    <row r="65" spans="1:11" ht="42" customHeight="1">
      <c r="A65" s="13" t="s">
        <v>5887</v>
      </c>
      <c r="B65" s="14" t="s">
        <v>5879</v>
      </c>
      <c r="C65" s="14" t="s">
        <v>5888</v>
      </c>
      <c r="D65" s="15" t="s">
        <v>28</v>
      </c>
      <c r="E65" s="13" t="s">
        <v>45</v>
      </c>
      <c r="F65" s="14" t="s">
        <v>5889</v>
      </c>
      <c r="G65" s="14" t="s">
        <v>5890</v>
      </c>
      <c r="H65" s="14" t="s">
        <v>5891</v>
      </c>
      <c r="I65" s="14"/>
      <c r="J65" s="16" t="s">
        <v>51</v>
      </c>
      <c r="K65" s="14"/>
    </row>
    <row r="66" spans="1:11" ht="42" customHeight="1">
      <c r="A66" s="13" t="s">
        <v>5892</v>
      </c>
      <c r="B66" s="14" t="s">
        <v>5879</v>
      </c>
      <c r="C66" s="14" t="s">
        <v>5893</v>
      </c>
      <c r="D66" s="15" t="s">
        <v>28</v>
      </c>
      <c r="E66" s="13" t="s">
        <v>46</v>
      </c>
      <c r="F66" s="14" t="s">
        <v>5894</v>
      </c>
      <c r="G66" s="14" t="s">
        <v>5895</v>
      </c>
      <c r="H66" s="14" t="s">
        <v>5896</v>
      </c>
      <c r="I66" s="14"/>
      <c r="J66" s="16" t="s">
        <v>51</v>
      </c>
      <c r="K66" s="14"/>
    </row>
    <row r="67" spans="1:11" ht="42" customHeight="1">
      <c r="A67" s="17" t="s">
        <v>5897</v>
      </c>
      <c r="B67" s="18" t="s">
        <v>5879</v>
      </c>
      <c r="C67" s="18" t="s">
        <v>5898</v>
      </c>
      <c r="D67" s="19" t="s">
        <v>31</v>
      </c>
      <c r="E67" s="17" t="s">
        <v>45</v>
      </c>
      <c r="F67" s="18" t="s">
        <v>5899</v>
      </c>
      <c r="G67" s="18" t="s">
        <v>5900</v>
      </c>
      <c r="H67" s="18" t="s">
        <v>5901</v>
      </c>
      <c r="I67" s="18"/>
      <c r="J67" s="16" t="s">
        <v>51</v>
      </c>
      <c r="K67" s="18"/>
    </row>
    <row r="68" spans="1:11" ht="42" customHeight="1">
      <c r="A68" s="17" t="s">
        <v>5902</v>
      </c>
      <c r="B68" s="18" t="s">
        <v>5879</v>
      </c>
      <c r="C68" s="18" t="s">
        <v>5903</v>
      </c>
      <c r="D68" s="19" t="s">
        <v>31</v>
      </c>
      <c r="E68" s="17" t="s">
        <v>45</v>
      </c>
      <c r="F68" s="18" t="s">
        <v>5904</v>
      </c>
      <c r="G68" s="18" t="s">
        <v>5905</v>
      </c>
      <c r="H68" s="18" t="s">
        <v>5906</v>
      </c>
      <c r="I68" s="18"/>
      <c r="J68" s="16" t="s">
        <v>51</v>
      </c>
      <c r="K68" s="18"/>
    </row>
    <row r="69" spans="1:11" ht="42" customHeight="1">
      <c r="A69" s="13" t="s">
        <v>5907</v>
      </c>
      <c r="B69" s="14" t="s">
        <v>5879</v>
      </c>
      <c r="C69" s="14" t="s">
        <v>5908</v>
      </c>
      <c r="D69" s="15" t="s">
        <v>28</v>
      </c>
      <c r="E69" s="13" t="s">
        <v>47</v>
      </c>
      <c r="F69" s="14" t="s">
        <v>5909</v>
      </c>
      <c r="G69" s="14" t="s">
        <v>109</v>
      </c>
      <c r="H69" s="14" t="s">
        <v>5910</v>
      </c>
      <c r="I69" s="14"/>
      <c r="J69" s="16" t="s">
        <v>51</v>
      </c>
      <c r="K69" s="14"/>
    </row>
    <row r="70" spans="1:11" ht="42" customHeight="1">
      <c r="A70" s="17" t="s">
        <v>5911</v>
      </c>
      <c r="B70" s="18" t="s">
        <v>5879</v>
      </c>
      <c r="C70" s="18" t="s">
        <v>5912</v>
      </c>
      <c r="D70" s="19" t="s">
        <v>31</v>
      </c>
      <c r="E70" s="17" t="s">
        <v>45</v>
      </c>
      <c r="F70" s="18" t="s">
        <v>5913</v>
      </c>
      <c r="G70" s="18" t="s">
        <v>5914</v>
      </c>
      <c r="H70" s="18" t="s">
        <v>5915</v>
      </c>
      <c r="I70" s="18"/>
      <c r="J70" s="16" t="s">
        <v>51</v>
      </c>
      <c r="K70" s="18"/>
    </row>
    <row r="71" spans="1:11" ht="42" customHeight="1">
      <c r="A71" s="13" t="s">
        <v>5916</v>
      </c>
      <c r="B71" s="14" t="s">
        <v>5879</v>
      </c>
      <c r="C71" s="14" t="s">
        <v>5917</v>
      </c>
      <c r="D71" s="15" t="s">
        <v>28</v>
      </c>
      <c r="E71" s="13" t="s">
        <v>45</v>
      </c>
      <c r="F71" s="14" t="s">
        <v>5918</v>
      </c>
      <c r="G71" s="14" t="s">
        <v>5895</v>
      </c>
      <c r="H71" s="14" t="s">
        <v>5919</v>
      </c>
      <c r="I71" s="14"/>
      <c r="J71" s="16" t="s">
        <v>51</v>
      </c>
      <c r="K71" s="14"/>
    </row>
    <row r="72" spans="1:11" ht="42" customHeight="1">
      <c r="A72" s="17" t="s">
        <v>5920</v>
      </c>
      <c r="B72" s="18" t="s">
        <v>5879</v>
      </c>
      <c r="C72" s="18" t="s">
        <v>5921</v>
      </c>
      <c r="D72" s="19" t="s">
        <v>31</v>
      </c>
      <c r="E72" s="17" t="s">
        <v>46</v>
      </c>
      <c r="F72" s="18" t="s">
        <v>5922</v>
      </c>
      <c r="G72" s="18" t="s">
        <v>109</v>
      </c>
      <c r="H72" s="18" t="s">
        <v>5923</v>
      </c>
      <c r="I72" s="18"/>
      <c r="J72" s="16" t="s">
        <v>51</v>
      </c>
      <c r="K72" s="18"/>
    </row>
    <row r="73" spans="1:11" ht="55.5" customHeight="1">
      <c r="A73" s="13" t="s">
        <v>5924</v>
      </c>
      <c r="B73" s="14" t="s">
        <v>5925</v>
      </c>
      <c r="C73" s="14" t="s">
        <v>5926</v>
      </c>
      <c r="D73" s="15" t="s">
        <v>28</v>
      </c>
      <c r="E73" s="13" t="s">
        <v>45</v>
      </c>
      <c r="F73" s="14" t="s">
        <v>5927</v>
      </c>
      <c r="G73" s="14" t="s">
        <v>5928</v>
      </c>
      <c r="H73" s="14" t="s">
        <v>5929</v>
      </c>
      <c r="I73" s="14"/>
      <c r="J73" s="16" t="s">
        <v>51</v>
      </c>
      <c r="K73" s="14"/>
    </row>
    <row r="74" spans="1:11" ht="42" customHeight="1">
      <c r="A74" s="13" t="s">
        <v>5930</v>
      </c>
      <c r="B74" s="14" t="s">
        <v>5925</v>
      </c>
      <c r="C74" s="14" t="s">
        <v>5931</v>
      </c>
      <c r="D74" s="15" t="s">
        <v>28</v>
      </c>
      <c r="E74" s="13" t="s">
        <v>46</v>
      </c>
      <c r="F74" s="14" t="s">
        <v>5932</v>
      </c>
      <c r="G74" s="14" t="s">
        <v>109</v>
      </c>
      <c r="H74" s="14" t="s">
        <v>5933</v>
      </c>
      <c r="I74" s="14"/>
      <c r="J74" s="16" t="s">
        <v>51</v>
      </c>
      <c r="K74" s="14"/>
    </row>
    <row r="75" spans="1:11" ht="42" customHeight="1">
      <c r="A75" s="13" t="s">
        <v>5934</v>
      </c>
      <c r="B75" s="14" t="s">
        <v>5925</v>
      </c>
      <c r="C75" s="14" t="s">
        <v>5935</v>
      </c>
      <c r="D75" s="15" t="s">
        <v>28</v>
      </c>
      <c r="E75" s="13" t="s">
        <v>45</v>
      </c>
      <c r="F75" s="14" t="s">
        <v>5936</v>
      </c>
      <c r="G75" s="14" t="s">
        <v>5937</v>
      </c>
      <c r="H75" s="14" t="s">
        <v>5938</v>
      </c>
      <c r="I75" s="14"/>
      <c r="J75" s="16" t="s">
        <v>51</v>
      </c>
      <c r="K75" s="14"/>
    </row>
    <row r="76" spans="1:11" ht="27.75" customHeight="1">
      <c r="A76" s="13" t="s">
        <v>5939</v>
      </c>
      <c r="B76" s="14" t="s">
        <v>5925</v>
      </c>
      <c r="C76" s="14" t="s">
        <v>5940</v>
      </c>
      <c r="D76" s="15" t="s">
        <v>28</v>
      </c>
      <c r="E76" s="13" t="s">
        <v>46</v>
      </c>
      <c r="F76" s="14" t="s">
        <v>5941</v>
      </c>
      <c r="G76" s="14" t="s">
        <v>109</v>
      </c>
      <c r="H76" s="14" t="s">
        <v>5942</v>
      </c>
      <c r="I76" s="14"/>
      <c r="J76" s="16" t="s">
        <v>51</v>
      </c>
      <c r="K76" s="14"/>
    </row>
    <row r="77" spans="1:11" ht="42" customHeight="1">
      <c r="A77" s="17" t="s">
        <v>5943</v>
      </c>
      <c r="B77" s="18" t="s">
        <v>5925</v>
      </c>
      <c r="C77" s="18" t="s">
        <v>5944</v>
      </c>
      <c r="D77" s="19" t="s">
        <v>29</v>
      </c>
      <c r="E77" s="17" t="s">
        <v>45</v>
      </c>
      <c r="F77" s="18" t="s">
        <v>5945</v>
      </c>
      <c r="G77" s="18" t="s">
        <v>5946</v>
      </c>
      <c r="H77" s="18" t="s">
        <v>5947</v>
      </c>
      <c r="I77" s="18"/>
      <c r="J77" s="16" t="s">
        <v>51</v>
      </c>
      <c r="K77" s="18"/>
    </row>
    <row r="78" spans="1:11" ht="69.75" customHeight="1">
      <c r="A78" s="13" t="s">
        <v>5948</v>
      </c>
      <c r="B78" s="14" t="s">
        <v>5925</v>
      </c>
      <c r="C78" s="14" t="s">
        <v>5949</v>
      </c>
      <c r="D78" s="15" t="s">
        <v>28</v>
      </c>
      <c r="E78" s="13" t="s">
        <v>46</v>
      </c>
      <c r="F78" s="14" t="s">
        <v>5950</v>
      </c>
      <c r="G78" s="14" t="s">
        <v>109</v>
      </c>
      <c r="H78" s="14" t="s">
        <v>5951</v>
      </c>
      <c r="I78" s="14"/>
      <c r="J78" s="16" t="s">
        <v>51</v>
      </c>
      <c r="K78" s="14"/>
    </row>
    <row r="79" spans="1:11" ht="42" customHeight="1">
      <c r="A79" s="13" t="s">
        <v>5952</v>
      </c>
      <c r="B79" s="14" t="s">
        <v>5925</v>
      </c>
      <c r="C79" s="14" t="s">
        <v>5953</v>
      </c>
      <c r="D79" s="15" t="s">
        <v>28</v>
      </c>
      <c r="E79" s="13" t="s">
        <v>46</v>
      </c>
      <c r="F79" s="14" t="s">
        <v>5954</v>
      </c>
      <c r="G79" s="14" t="s">
        <v>109</v>
      </c>
      <c r="H79" s="14" t="s">
        <v>5955</v>
      </c>
      <c r="I79" s="14"/>
      <c r="J79" s="16" t="s">
        <v>51</v>
      </c>
      <c r="K79" s="14"/>
    </row>
    <row r="80" spans="1:11" ht="42" customHeight="1">
      <c r="A80" s="13" t="s">
        <v>5956</v>
      </c>
      <c r="B80" s="14" t="s">
        <v>5925</v>
      </c>
      <c r="C80" s="14" t="s">
        <v>5957</v>
      </c>
      <c r="D80" s="15" t="s">
        <v>28</v>
      </c>
      <c r="E80" s="13" t="s">
        <v>46</v>
      </c>
      <c r="F80" s="14" t="s">
        <v>5958</v>
      </c>
      <c r="G80" s="14" t="s">
        <v>5959</v>
      </c>
      <c r="H80" s="14" t="s">
        <v>5960</v>
      </c>
      <c r="I80" s="14"/>
      <c r="J80" s="16" t="s">
        <v>51</v>
      </c>
      <c r="K80" s="14"/>
    </row>
    <row r="81" spans="1:11" ht="84" customHeight="1">
      <c r="A81" s="13" t="s">
        <v>5961</v>
      </c>
      <c r="B81" s="14" t="s">
        <v>5925</v>
      </c>
      <c r="C81" s="14" t="s">
        <v>5962</v>
      </c>
      <c r="D81" s="15" t="s">
        <v>28</v>
      </c>
      <c r="E81" s="13" t="s">
        <v>45</v>
      </c>
      <c r="F81" s="14" t="s">
        <v>5963</v>
      </c>
      <c r="G81" s="14" t="s">
        <v>109</v>
      </c>
      <c r="H81" s="14" t="s">
        <v>5964</v>
      </c>
      <c r="I81" s="14"/>
      <c r="J81" s="16" t="s">
        <v>51</v>
      </c>
      <c r="K81" s="14"/>
    </row>
    <row r="82" spans="1:11" ht="42" customHeight="1">
      <c r="A82" s="17" t="s">
        <v>5965</v>
      </c>
      <c r="B82" s="18" t="s">
        <v>5925</v>
      </c>
      <c r="C82" s="18" t="s">
        <v>5966</v>
      </c>
      <c r="D82" s="19" t="s">
        <v>31</v>
      </c>
      <c r="E82" s="17" t="s">
        <v>46</v>
      </c>
      <c r="F82" s="18" t="s">
        <v>5967</v>
      </c>
      <c r="G82" s="18" t="s">
        <v>5968</v>
      </c>
      <c r="H82" s="18" t="s">
        <v>5969</v>
      </c>
      <c r="I82" s="18"/>
      <c r="J82" s="16" t="s">
        <v>51</v>
      </c>
      <c r="K82" s="18" t="s">
        <v>5970</v>
      </c>
    </row>
    <row r="83" spans="1:11" ht="42" customHeight="1">
      <c r="A83" s="17" t="s">
        <v>5971</v>
      </c>
      <c r="B83" s="18" t="s">
        <v>5925</v>
      </c>
      <c r="C83" s="18" t="s">
        <v>5972</v>
      </c>
      <c r="D83" s="19" t="s">
        <v>31</v>
      </c>
      <c r="E83" s="17" t="s">
        <v>45</v>
      </c>
      <c r="F83" s="18" t="s">
        <v>5973</v>
      </c>
      <c r="G83" s="18" t="s">
        <v>5974</v>
      </c>
      <c r="H83" s="18" t="s">
        <v>5975</v>
      </c>
      <c r="I83" s="18"/>
      <c r="J83" s="16" t="s">
        <v>51</v>
      </c>
      <c r="K83" s="18" t="s">
        <v>5976</v>
      </c>
    </row>
    <row r="84" spans="1:11" ht="55.5" customHeight="1">
      <c r="A84" s="17" t="s">
        <v>5977</v>
      </c>
      <c r="B84" s="18" t="s">
        <v>5925</v>
      </c>
      <c r="C84" s="18" t="s">
        <v>5978</v>
      </c>
      <c r="D84" s="19" t="s">
        <v>31</v>
      </c>
      <c r="E84" s="17" t="s">
        <v>46</v>
      </c>
      <c r="F84" s="18" t="s">
        <v>5979</v>
      </c>
      <c r="G84" s="18" t="s">
        <v>5980</v>
      </c>
      <c r="H84" s="18" t="s">
        <v>5981</v>
      </c>
      <c r="I84" s="18"/>
      <c r="J84" s="16" t="s">
        <v>51</v>
      </c>
      <c r="K84" s="18" t="s">
        <v>5982</v>
      </c>
    </row>
    <row r="85" spans="1:11" ht="55.5" customHeight="1">
      <c r="A85" s="17" t="s">
        <v>5983</v>
      </c>
      <c r="B85" s="18" t="s">
        <v>5925</v>
      </c>
      <c r="C85" s="18" t="s">
        <v>5984</v>
      </c>
      <c r="D85" s="19" t="s">
        <v>29</v>
      </c>
      <c r="E85" s="17" t="s">
        <v>46</v>
      </c>
      <c r="F85" s="18" t="s">
        <v>5985</v>
      </c>
      <c r="G85" s="18" t="s">
        <v>5986</v>
      </c>
      <c r="H85" s="18" t="s">
        <v>5987</v>
      </c>
      <c r="I85" s="18"/>
      <c r="J85" s="16" t="s">
        <v>51</v>
      </c>
      <c r="K85" s="18" t="s">
        <v>5988</v>
      </c>
    </row>
  </sheetData>
  <autoFilter ref="A1:K85" xr:uid="{00000000-0009-0000-0000-000013000000}"/>
  <dataValidations count="3">
    <dataValidation type="list" allowBlank="1" sqref="D2:D85" xr:uid="{00000000-0002-0000-1300-000000000000}">
      <formula1>"Positive,Negative,Functional - Positive,Functional - Negative,Validation - Positive,Validation - Negative,Defect - Functional,Defect - Validation"</formula1>
      <formula2>0</formula2>
    </dataValidation>
    <dataValidation type="list" allowBlank="1" sqref="E2:E85" xr:uid="{00000000-0002-0000-1300-000001000000}">
      <formula1>"High,Medium,Low"</formula1>
      <formula2>0</formula2>
    </dataValidation>
    <dataValidation type="list" allowBlank="1" sqref="J2:J85" xr:uid="{00000000-0002-0000-1300-000002000000}">
      <formula1>"Not Executed,Pass,Fail,Blocked,Not Applicable"</formula1>
      <formula2>0</formula2>
    </dataValidation>
  </dataValidation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82"/>
  <sheetViews>
    <sheetView zoomScaleNormal="100" workbookViewId="0">
      <selection activeCell="A2" sqref="A1:XFD1048576"/>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ht="28.5" customHeight="1">
      <c r="A1" s="29" t="s">
        <v>79</v>
      </c>
      <c r="B1" s="29" t="s">
        <v>80</v>
      </c>
      <c r="C1" s="29" t="s">
        <v>81</v>
      </c>
      <c r="D1" s="29" t="s">
        <v>82</v>
      </c>
      <c r="E1" s="29" t="s">
        <v>83</v>
      </c>
      <c r="F1" s="29" t="s">
        <v>84</v>
      </c>
      <c r="G1" s="29" t="s">
        <v>85</v>
      </c>
      <c r="H1" s="29" t="s">
        <v>86</v>
      </c>
      <c r="I1" s="29" t="s">
        <v>87</v>
      </c>
      <c r="J1" s="29" t="s">
        <v>88</v>
      </c>
      <c r="K1" s="29" t="s">
        <v>89</v>
      </c>
    </row>
    <row r="2" spans="1:11" ht="36" customHeight="1">
      <c r="A2" s="30" t="s">
        <v>5989</v>
      </c>
      <c r="B2" s="30" t="s">
        <v>5990</v>
      </c>
      <c r="C2" s="30" t="s">
        <v>5991</v>
      </c>
      <c r="D2" s="31" t="s">
        <v>43</v>
      </c>
      <c r="E2" s="30" t="s">
        <v>45</v>
      </c>
      <c r="F2" s="30" t="s">
        <v>5992</v>
      </c>
      <c r="G2" s="30" t="s">
        <v>5993</v>
      </c>
      <c r="H2" s="30" t="s">
        <v>5994</v>
      </c>
      <c r="I2" s="30"/>
      <c r="J2" s="32" t="s">
        <v>51</v>
      </c>
      <c r="K2" s="30"/>
    </row>
    <row r="3" spans="1:11" ht="36" customHeight="1">
      <c r="A3" s="30" t="s">
        <v>5995</v>
      </c>
      <c r="B3" s="30" t="s">
        <v>5990</v>
      </c>
      <c r="C3" s="30" t="s">
        <v>5996</v>
      </c>
      <c r="D3" s="31" t="s">
        <v>43</v>
      </c>
      <c r="E3" s="30" t="s">
        <v>45</v>
      </c>
      <c r="F3" s="30" t="s">
        <v>5997</v>
      </c>
      <c r="G3" s="30" t="s">
        <v>5993</v>
      </c>
      <c r="H3" s="30" t="s">
        <v>5998</v>
      </c>
      <c r="I3" s="30"/>
      <c r="J3" s="32" t="s">
        <v>51</v>
      </c>
      <c r="K3" s="30"/>
    </row>
    <row r="4" spans="1:11" ht="36" customHeight="1">
      <c r="A4" s="30" t="s">
        <v>5999</v>
      </c>
      <c r="B4" s="30" t="s">
        <v>5990</v>
      </c>
      <c r="C4" s="30" t="s">
        <v>6000</v>
      </c>
      <c r="D4" s="31" t="s">
        <v>43</v>
      </c>
      <c r="E4" s="30" t="s">
        <v>45</v>
      </c>
      <c r="F4" s="30" t="s">
        <v>6001</v>
      </c>
      <c r="G4" s="30" t="s">
        <v>6002</v>
      </c>
      <c r="H4" s="30" t="s">
        <v>6003</v>
      </c>
      <c r="I4" s="30"/>
      <c r="J4" s="32" t="s">
        <v>51</v>
      </c>
      <c r="K4" s="30"/>
    </row>
    <row r="5" spans="1:11" ht="48" customHeight="1">
      <c r="A5" s="33" t="s">
        <v>6004</v>
      </c>
      <c r="B5" s="33" t="s">
        <v>5990</v>
      </c>
      <c r="C5" s="33" t="s">
        <v>6005</v>
      </c>
      <c r="D5" s="34" t="s">
        <v>44</v>
      </c>
      <c r="E5" s="33" t="s">
        <v>45</v>
      </c>
      <c r="F5" s="33" t="s">
        <v>6006</v>
      </c>
      <c r="G5" s="33" t="s">
        <v>6007</v>
      </c>
      <c r="H5" s="33" t="s">
        <v>6008</v>
      </c>
      <c r="I5" s="33"/>
      <c r="J5" s="32" t="s">
        <v>51</v>
      </c>
      <c r="K5" s="33"/>
    </row>
    <row r="6" spans="1:11" ht="36" customHeight="1">
      <c r="A6" s="33" t="s">
        <v>6009</v>
      </c>
      <c r="B6" s="33" t="s">
        <v>5990</v>
      </c>
      <c r="C6" s="33" t="s">
        <v>6010</v>
      </c>
      <c r="D6" s="34" t="s">
        <v>44</v>
      </c>
      <c r="E6" s="33" t="s">
        <v>45</v>
      </c>
      <c r="F6" s="33" t="s">
        <v>6011</v>
      </c>
      <c r="G6" s="33" t="s">
        <v>6012</v>
      </c>
      <c r="H6" s="33" t="s">
        <v>6008</v>
      </c>
      <c r="I6" s="33"/>
      <c r="J6" s="32" t="s">
        <v>51</v>
      </c>
      <c r="K6" s="33"/>
    </row>
    <row r="7" spans="1:11" ht="48" customHeight="1">
      <c r="A7" s="33" t="s">
        <v>6013</v>
      </c>
      <c r="B7" s="33" t="s">
        <v>5990</v>
      </c>
      <c r="C7" s="33" t="s">
        <v>6014</v>
      </c>
      <c r="D7" s="34" t="s">
        <v>44</v>
      </c>
      <c r="E7" s="33" t="s">
        <v>45</v>
      </c>
      <c r="F7" s="33" t="s">
        <v>6015</v>
      </c>
      <c r="G7" s="33" t="s">
        <v>6016</v>
      </c>
      <c r="H7" s="33" t="s">
        <v>6017</v>
      </c>
      <c r="I7" s="33"/>
      <c r="J7" s="32" t="s">
        <v>51</v>
      </c>
      <c r="K7" s="33"/>
    </row>
    <row r="8" spans="1:11" ht="60" customHeight="1">
      <c r="A8" s="33" t="s">
        <v>6018</v>
      </c>
      <c r="B8" s="33" t="s">
        <v>5990</v>
      </c>
      <c r="C8" s="33" t="s">
        <v>6019</v>
      </c>
      <c r="D8" s="34" t="s">
        <v>44</v>
      </c>
      <c r="E8" s="33" t="s">
        <v>46</v>
      </c>
      <c r="F8" s="33" t="s">
        <v>6020</v>
      </c>
      <c r="G8" s="33" t="s">
        <v>540</v>
      </c>
      <c r="H8" s="33" t="s">
        <v>6021</v>
      </c>
      <c r="I8" s="33"/>
      <c r="J8" s="32" t="s">
        <v>51</v>
      </c>
      <c r="K8" s="33" t="s">
        <v>6022</v>
      </c>
    </row>
    <row r="9" spans="1:11" ht="36" customHeight="1">
      <c r="A9" s="30" t="s">
        <v>6023</v>
      </c>
      <c r="B9" s="30" t="s">
        <v>5990</v>
      </c>
      <c r="C9" s="30" t="s">
        <v>6024</v>
      </c>
      <c r="D9" s="31" t="s">
        <v>43</v>
      </c>
      <c r="E9" s="30" t="s">
        <v>46</v>
      </c>
      <c r="F9" s="30" t="s">
        <v>6025</v>
      </c>
      <c r="G9" s="30" t="s">
        <v>6026</v>
      </c>
      <c r="H9" s="30" t="s">
        <v>6027</v>
      </c>
      <c r="I9" s="30"/>
      <c r="J9" s="32" t="s">
        <v>51</v>
      </c>
      <c r="K9" s="30"/>
    </row>
    <row r="10" spans="1:11" ht="60" customHeight="1">
      <c r="A10" s="30" t="s">
        <v>6028</v>
      </c>
      <c r="B10" s="30" t="s">
        <v>5990</v>
      </c>
      <c r="C10" s="30" t="s">
        <v>6029</v>
      </c>
      <c r="D10" s="31" t="s">
        <v>43</v>
      </c>
      <c r="E10" s="30" t="s">
        <v>46</v>
      </c>
      <c r="F10" s="30" t="s">
        <v>6030</v>
      </c>
      <c r="G10" s="30" t="s">
        <v>109</v>
      </c>
      <c r="H10" s="30" t="s">
        <v>6031</v>
      </c>
      <c r="I10" s="30"/>
      <c r="J10" s="32" t="s">
        <v>51</v>
      </c>
      <c r="K10" s="30"/>
    </row>
    <row r="11" spans="1:11" ht="48" customHeight="1">
      <c r="A11" s="33" t="s">
        <v>6032</v>
      </c>
      <c r="B11" s="33" t="s">
        <v>5990</v>
      </c>
      <c r="C11" s="33" t="s">
        <v>6033</v>
      </c>
      <c r="D11" s="34" t="s">
        <v>44</v>
      </c>
      <c r="E11" s="33" t="s">
        <v>46</v>
      </c>
      <c r="F11" s="33" t="s">
        <v>6034</v>
      </c>
      <c r="G11" s="33" t="s">
        <v>6035</v>
      </c>
      <c r="H11" s="33" t="s">
        <v>6036</v>
      </c>
      <c r="I11" s="33"/>
      <c r="J11" s="32" t="s">
        <v>51</v>
      </c>
      <c r="K11" s="33" t="s">
        <v>6037</v>
      </c>
    </row>
    <row r="12" spans="1:11" ht="48" customHeight="1">
      <c r="A12" s="30" t="s">
        <v>6038</v>
      </c>
      <c r="B12" s="30" t="s">
        <v>6039</v>
      </c>
      <c r="C12" s="30" t="s">
        <v>6040</v>
      </c>
      <c r="D12" s="31" t="s">
        <v>43</v>
      </c>
      <c r="E12" s="30" t="s">
        <v>45</v>
      </c>
      <c r="F12" s="30" t="s">
        <v>6041</v>
      </c>
      <c r="G12" s="30" t="s">
        <v>6042</v>
      </c>
      <c r="H12" s="30" t="s">
        <v>6043</v>
      </c>
      <c r="I12" s="30"/>
      <c r="J12" s="32" t="s">
        <v>51</v>
      </c>
      <c r="K12" s="30"/>
    </row>
    <row r="13" spans="1:11" ht="36" customHeight="1">
      <c r="A13" s="30" t="s">
        <v>6044</v>
      </c>
      <c r="B13" s="30" t="s">
        <v>6039</v>
      </c>
      <c r="C13" s="30" t="s">
        <v>6045</v>
      </c>
      <c r="D13" s="31" t="s">
        <v>43</v>
      </c>
      <c r="E13" s="30" t="s">
        <v>45</v>
      </c>
      <c r="F13" s="30" t="s">
        <v>6046</v>
      </c>
      <c r="G13" s="30" t="s">
        <v>6002</v>
      </c>
      <c r="H13" s="30" t="s">
        <v>6047</v>
      </c>
      <c r="I13" s="30"/>
      <c r="J13" s="32" t="s">
        <v>51</v>
      </c>
      <c r="K13" s="30"/>
    </row>
    <row r="14" spans="1:11" ht="48" customHeight="1">
      <c r="A14" s="33" t="s">
        <v>6048</v>
      </c>
      <c r="B14" s="33" t="s">
        <v>6039</v>
      </c>
      <c r="C14" s="33" t="s">
        <v>6049</v>
      </c>
      <c r="D14" s="34" t="s">
        <v>44</v>
      </c>
      <c r="E14" s="33" t="s">
        <v>45</v>
      </c>
      <c r="F14" s="33" t="s">
        <v>6050</v>
      </c>
      <c r="G14" s="33" t="s">
        <v>6051</v>
      </c>
      <c r="H14" s="33" t="s">
        <v>6052</v>
      </c>
      <c r="I14" s="33"/>
      <c r="J14" s="32" t="s">
        <v>51</v>
      </c>
      <c r="K14" s="33"/>
    </row>
    <row r="15" spans="1:11" ht="36" customHeight="1">
      <c r="A15" s="33" t="s">
        <v>6053</v>
      </c>
      <c r="B15" s="33" t="s">
        <v>6039</v>
      </c>
      <c r="C15" s="33" t="s">
        <v>6054</v>
      </c>
      <c r="D15" s="34" t="s">
        <v>44</v>
      </c>
      <c r="E15" s="33" t="s">
        <v>45</v>
      </c>
      <c r="F15" s="33" t="s">
        <v>6055</v>
      </c>
      <c r="G15" s="33" t="s">
        <v>6016</v>
      </c>
      <c r="H15" s="33" t="s">
        <v>6056</v>
      </c>
      <c r="I15" s="33"/>
      <c r="J15" s="32" t="s">
        <v>51</v>
      </c>
      <c r="K15" s="33"/>
    </row>
    <row r="16" spans="1:11" ht="60" customHeight="1">
      <c r="A16" s="33" t="s">
        <v>6057</v>
      </c>
      <c r="B16" s="33" t="s">
        <v>6039</v>
      </c>
      <c r="C16" s="33" t="s">
        <v>6058</v>
      </c>
      <c r="D16" s="34" t="s">
        <v>44</v>
      </c>
      <c r="E16" s="33" t="s">
        <v>46</v>
      </c>
      <c r="F16" s="33" t="s">
        <v>6059</v>
      </c>
      <c r="G16" s="33" t="s">
        <v>540</v>
      </c>
      <c r="H16" s="33" t="s">
        <v>6060</v>
      </c>
      <c r="I16" s="33"/>
      <c r="J16" s="32" t="s">
        <v>51</v>
      </c>
      <c r="K16" s="33" t="s">
        <v>6022</v>
      </c>
    </row>
    <row r="17" spans="1:11" ht="36" customHeight="1">
      <c r="A17" s="30" t="s">
        <v>6061</v>
      </c>
      <c r="B17" s="30" t="s">
        <v>6039</v>
      </c>
      <c r="C17" s="30" t="s">
        <v>6062</v>
      </c>
      <c r="D17" s="31" t="s">
        <v>43</v>
      </c>
      <c r="E17" s="30" t="s">
        <v>45</v>
      </c>
      <c r="F17" s="30" t="s">
        <v>6063</v>
      </c>
      <c r="G17" s="30" t="s">
        <v>6064</v>
      </c>
      <c r="H17" s="30" t="s">
        <v>6065</v>
      </c>
      <c r="I17" s="30"/>
      <c r="J17" s="32" t="s">
        <v>51</v>
      </c>
      <c r="K17" s="30"/>
    </row>
    <row r="18" spans="1:11" ht="48" customHeight="1">
      <c r="A18" s="33" t="s">
        <v>6066</v>
      </c>
      <c r="B18" s="33" t="s">
        <v>6039</v>
      </c>
      <c r="C18" s="33" t="s">
        <v>6067</v>
      </c>
      <c r="D18" s="34" t="s">
        <v>44</v>
      </c>
      <c r="E18" s="33" t="s">
        <v>46</v>
      </c>
      <c r="F18" s="33" t="s">
        <v>6068</v>
      </c>
      <c r="G18" s="33" t="s">
        <v>6069</v>
      </c>
      <c r="H18" s="33" t="s">
        <v>6070</v>
      </c>
      <c r="I18" s="33"/>
      <c r="J18" s="32" t="s">
        <v>51</v>
      </c>
      <c r="K18" s="33"/>
    </row>
    <row r="19" spans="1:11" ht="48" customHeight="1">
      <c r="A19" s="33" t="s">
        <v>6071</v>
      </c>
      <c r="B19" s="33" t="s">
        <v>6039</v>
      </c>
      <c r="C19" s="33" t="s">
        <v>6072</v>
      </c>
      <c r="D19" s="34" t="s">
        <v>44</v>
      </c>
      <c r="E19" s="33" t="s">
        <v>46</v>
      </c>
      <c r="F19" s="33" t="s">
        <v>6073</v>
      </c>
      <c r="G19" s="33" t="s">
        <v>6074</v>
      </c>
      <c r="H19" s="33" t="s">
        <v>6075</v>
      </c>
      <c r="I19" s="33"/>
      <c r="J19" s="32" t="s">
        <v>51</v>
      </c>
      <c r="K19" s="33"/>
    </row>
    <row r="20" spans="1:11" ht="36" customHeight="1">
      <c r="A20" s="30" t="s">
        <v>6076</v>
      </c>
      <c r="B20" s="30" t="s">
        <v>6077</v>
      </c>
      <c r="C20" s="30" t="s">
        <v>6078</v>
      </c>
      <c r="D20" s="31" t="s">
        <v>43</v>
      </c>
      <c r="E20" s="30" t="s">
        <v>45</v>
      </c>
      <c r="F20" s="30" t="s">
        <v>6079</v>
      </c>
      <c r="G20" s="30" t="s">
        <v>6080</v>
      </c>
      <c r="H20" s="30" t="s">
        <v>6081</v>
      </c>
      <c r="I20" s="30"/>
      <c r="J20" s="32" t="s">
        <v>51</v>
      </c>
      <c r="K20" s="30"/>
    </row>
    <row r="21" spans="1:11" ht="60" customHeight="1">
      <c r="A21" s="30" t="s">
        <v>6082</v>
      </c>
      <c r="B21" s="30" t="s">
        <v>6077</v>
      </c>
      <c r="C21" s="30" t="s">
        <v>6083</v>
      </c>
      <c r="D21" s="31" t="s">
        <v>43</v>
      </c>
      <c r="E21" s="30" t="s">
        <v>45</v>
      </c>
      <c r="F21" s="30" t="s">
        <v>6084</v>
      </c>
      <c r="G21" s="30" t="s">
        <v>6085</v>
      </c>
      <c r="H21" s="30" t="s">
        <v>6086</v>
      </c>
      <c r="I21" s="30"/>
      <c r="J21" s="32" t="s">
        <v>51</v>
      </c>
      <c r="K21" s="30"/>
    </row>
    <row r="22" spans="1:11" ht="72" customHeight="1">
      <c r="A22" s="30" t="s">
        <v>6087</v>
      </c>
      <c r="B22" s="30" t="s">
        <v>6077</v>
      </c>
      <c r="C22" s="30" t="s">
        <v>6088</v>
      </c>
      <c r="D22" s="31" t="s">
        <v>43</v>
      </c>
      <c r="E22" s="30" t="s">
        <v>46</v>
      </c>
      <c r="F22" s="30" t="s">
        <v>6089</v>
      </c>
      <c r="G22" s="30" t="s">
        <v>6090</v>
      </c>
      <c r="H22" s="30" t="s">
        <v>6091</v>
      </c>
      <c r="I22" s="30"/>
      <c r="J22" s="32" t="s">
        <v>51</v>
      </c>
      <c r="K22" s="30" t="s">
        <v>6092</v>
      </c>
    </row>
    <row r="23" spans="1:11" ht="36" customHeight="1">
      <c r="A23" s="33" t="s">
        <v>6093</v>
      </c>
      <c r="B23" s="33" t="s">
        <v>6077</v>
      </c>
      <c r="C23" s="33" t="s">
        <v>6094</v>
      </c>
      <c r="D23" s="34" t="s">
        <v>44</v>
      </c>
      <c r="E23" s="33" t="s">
        <v>45</v>
      </c>
      <c r="F23" s="33" t="s">
        <v>6095</v>
      </c>
      <c r="G23" s="33" t="s">
        <v>6096</v>
      </c>
      <c r="H23" s="33" t="s">
        <v>6097</v>
      </c>
      <c r="I23" s="33"/>
      <c r="J23" s="32" t="s">
        <v>51</v>
      </c>
      <c r="K23" s="33"/>
    </row>
    <row r="24" spans="1:11" ht="36" customHeight="1">
      <c r="A24" s="33" t="s">
        <v>6098</v>
      </c>
      <c r="B24" s="33" t="s">
        <v>6077</v>
      </c>
      <c r="C24" s="33" t="s">
        <v>6099</v>
      </c>
      <c r="D24" s="34" t="s">
        <v>44</v>
      </c>
      <c r="E24" s="33" t="s">
        <v>45</v>
      </c>
      <c r="F24" s="33" t="s">
        <v>6100</v>
      </c>
      <c r="G24" s="33" t="s">
        <v>6101</v>
      </c>
      <c r="H24" s="33" t="s">
        <v>6102</v>
      </c>
      <c r="I24" s="33"/>
      <c r="J24" s="32" t="s">
        <v>51</v>
      </c>
      <c r="K24" s="33"/>
    </row>
    <row r="25" spans="1:11" ht="36" customHeight="1">
      <c r="A25" s="33" t="s">
        <v>6103</v>
      </c>
      <c r="B25" s="33" t="s">
        <v>6077</v>
      </c>
      <c r="C25" s="33" t="s">
        <v>6104</v>
      </c>
      <c r="D25" s="34" t="s">
        <v>44</v>
      </c>
      <c r="E25" s="33" t="s">
        <v>45</v>
      </c>
      <c r="F25" s="33" t="s">
        <v>6105</v>
      </c>
      <c r="G25" s="33" t="s">
        <v>6106</v>
      </c>
      <c r="H25" s="33" t="s">
        <v>6107</v>
      </c>
      <c r="I25" s="33"/>
      <c r="J25" s="32" t="s">
        <v>51</v>
      </c>
      <c r="K25" s="33"/>
    </row>
    <row r="26" spans="1:11" ht="48" customHeight="1">
      <c r="A26" s="30" t="s">
        <v>6108</v>
      </c>
      <c r="B26" s="30" t="s">
        <v>6077</v>
      </c>
      <c r="C26" s="30" t="s">
        <v>6109</v>
      </c>
      <c r="D26" s="31" t="s">
        <v>43</v>
      </c>
      <c r="E26" s="30" t="s">
        <v>47</v>
      </c>
      <c r="F26" s="30" t="s">
        <v>6110</v>
      </c>
      <c r="G26" s="30" t="s">
        <v>109</v>
      </c>
      <c r="H26" s="30" t="s">
        <v>6111</v>
      </c>
      <c r="I26" s="30"/>
      <c r="J26" s="32" t="s">
        <v>51</v>
      </c>
      <c r="K26" s="30"/>
    </row>
    <row r="27" spans="1:11" ht="36" customHeight="1">
      <c r="A27" s="30" t="s">
        <v>6112</v>
      </c>
      <c r="B27" s="30" t="s">
        <v>6113</v>
      </c>
      <c r="C27" s="30" t="s">
        <v>6114</v>
      </c>
      <c r="D27" s="31" t="s">
        <v>43</v>
      </c>
      <c r="E27" s="30" t="s">
        <v>45</v>
      </c>
      <c r="F27" s="30" t="s">
        <v>6115</v>
      </c>
      <c r="G27" s="30" t="s">
        <v>6116</v>
      </c>
      <c r="H27" s="30" t="s">
        <v>6117</v>
      </c>
      <c r="I27" s="30"/>
      <c r="J27" s="32" t="s">
        <v>51</v>
      </c>
      <c r="K27" s="30"/>
    </row>
    <row r="28" spans="1:11" ht="36" customHeight="1">
      <c r="A28" s="30" t="s">
        <v>6118</v>
      </c>
      <c r="B28" s="30" t="s">
        <v>6113</v>
      </c>
      <c r="C28" s="30" t="s">
        <v>6119</v>
      </c>
      <c r="D28" s="31" t="s">
        <v>43</v>
      </c>
      <c r="E28" s="30" t="s">
        <v>45</v>
      </c>
      <c r="F28" s="30" t="s">
        <v>6120</v>
      </c>
      <c r="G28" s="30" t="s">
        <v>109</v>
      </c>
      <c r="H28" s="30" t="s">
        <v>6121</v>
      </c>
      <c r="I28" s="30"/>
      <c r="J28" s="32" t="s">
        <v>51</v>
      </c>
      <c r="K28" s="30"/>
    </row>
    <row r="29" spans="1:11" ht="36" customHeight="1">
      <c r="A29" s="30" t="s">
        <v>6122</v>
      </c>
      <c r="B29" s="30" t="s">
        <v>6113</v>
      </c>
      <c r="C29" s="30" t="s">
        <v>6123</v>
      </c>
      <c r="D29" s="31" t="s">
        <v>43</v>
      </c>
      <c r="E29" s="30" t="s">
        <v>46</v>
      </c>
      <c r="F29" s="30" t="s">
        <v>6124</v>
      </c>
      <c r="G29" s="30" t="s">
        <v>109</v>
      </c>
      <c r="H29" s="30" t="s">
        <v>6125</v>
      </c>
      <c r="I29" s="30"/>
      <c r="J29" s="32" t="s">
        <v>51</v>
      </c>
      <c r="K29" s="30"/>
    </row>
    <row r="30" spans="1:11" ht="60" customHeight="1">
      <c r="A30" s="33" t="s">
        <v>6126</v>
      </c>
      <c r="B30" s="33" t="s">
        <v>6113</v>
      </c>
      <c r="C30" s="33" t="s">
        <v>6127</v>
      </c>
      <c r="D30" s="34" t="s">
        <v>44</v>
      </c>
      <c r="E30" s="33" t="s">
        <v>46</v>
      </c>
      <c r="F30" s="33" t="s">
        <v>6128</v>
      </c>
      <c r="G30" s="33" t="s">
        <v>269</v>
      </c>
      <c r="H30" s="33" t="s">
        <v>6129</v>
      </c>
      <c r="I30" s="33"/>
      <c r="J30" s="32" t="s">
        <v>51</v>
      </c>
      <c r="K30" s="33" t="s">
        <v>6130</v>
      </c>
    </row>
    <row r="31" spans="1:11" ht="36" customHeight="1">
      <c r="A31" s="33" t="s">
        <v>6131</v>
      </c>
      <c r="B31" s="33" t="s">
        <v>6113</v>
      </c>
      <c r="C31" s="33" t="s">
        <v>6132</v>
      </c>
      <c r="D31" s="34" t="s">
        <v>44</v>
      </c>
      <c r="E31" s="33" t="s">
        <v>46</v>
      </c>
      <c r="F31" s="33" t="s">
        <v>6133</v>
      </c>
      <c r="G31" s="33" t="s">
        <v>6134</v>
      </c>
      <c r="H31" s="33" t="s">
        <v>6135</v>
      </c>
      <c r="I31" s="33"/>
      <c r="J31" s="32" t="s">
        <v>51</v>
      </c>
      <c r="K31" s="33"/>
    </row>
    <row r="32" spans="1:11" ht="36" customHeight="1">
      <c r="A32" s="33" t="s">
        <v>6136</v>
      </c>
      <c r="B32" s="33" t="s">
        <v>6113</v>
      </c>
      <c r="C32" s="33" t="s">
        <v>6137</v>
      </c>
      <c r="D32" s="34" t="s">
        <v>44</v>
      </c>
      <c r="E32" s="33" t="s">
        <v>45</v>
      </c>
      <c r="F32" s="33" t="s">
        <v>6138</v>
      </c>
      <c r="G32" s="33" t="s">
        <v>6139</v>
      </c>
      <c r="H32" s="33" t="s">
        <v>6140</v>
      </c>
      <c r="I32" s="33"/>
      <c r="J32" s="32" t="s">
        <v>51</v>
      </c>
      <c r="K32" s="33"/>
    </row>
    <row r="33" spans="1:11" ht="24" customHeight="1">
      <c r="A33" s="33" t="s">
        <v>6141</v>
      </c>
      <c r="B33" s="33" t="s">
        <v>6113</v>
      </c>
      <c r="C33" s="33" t="s">
        <v>6142</v>
      </c>
      <c r="D33" s="34" t="s">
        <v>44</v>
      </c>
      <c r="E33" s="33" t="s">
        <v>46</v>
      </c>
      <c r="F33" s="33" t="s">
        <v>6143</v>
      </c>
      <c r="G33" s="33" t="s">
        <v>6096</v>
      </c>
      <c r="H33" s="33" t="s">
        <v>6144</v>
      </c>
      <c r="I33" s="33"/>
      <c r="J33" s="32" t="s">
        <v>51</v>
      </c>
      <c r="K33" s="33"/>
    </row>
    <row r="34" spans="1:11" ht="60" customHeight="1">
      <c r="A34" s="30" t="s">
        <v>6145</v>
      </c>
      <c r="B34" s="30" t="s">
        <v>6146</v>
      </c>
      <c r="C34" s="30" t="s">
        <v>6147</v>
      </c>
      <c r="D34" s="31" t="s">
        <v>43</v>
      </c>
      <c r="E34" s="30" t="s">
        <v>45</v>
      </c>
      <c r="F34" s="30" t="s">
        <v>6148</v>
      </c>
      <c r="G34" s="30" t="s">
        <v>6149</v>
      </c>
      <c r="H34" s="30" t="s">
        <v>6150</v>
      </c>
      <c r="I34" s="30"/>
      <c r="J34" s="32" t="s">
        <v>51</v>
      </c>
      <c r="K34" s="30" t="s">
        <v>6151</v>
      </c>
    </row>
    <row r="35" spans="1:11" ht="36" customHeight="1">
      <c r="A35" s="30" t="s">
        <v>6152</v>
      </c>
      <c r="B35" s="30" t="s">
        <v>6146</v>
      </c>
      <c r="C35" s="30" t="s">
        <v>6153</v>
      </c>
      <c r="D35" s="31" t="s">
        <v>43</v>
      </c>
      <c r="E35" s="30" t="s">
        <v>46</v>
      </c>
      <c r="F35" s="30" t="s">
        <v>6154</v>
      </c>
      <c r="G35" s="30" t="s">
        <v>109</v>
      </c>
      <c r="H35" s="30" t="s">
        <v>6155</v>
      </c>
      <c r="I35" s="30"/>
      <c r="J35" s="32" t="s">
        <v>51</v>
      </c>
      <c r="K35" s="30"/>
    </row>
    <row r="36" spans="1:11" ht="36" customHeight="1">
      <c r="A36" s="33" t="s">
        <v>6156</v>
      </c>
      <c r="B36" s="33" t="s">
        <v>6146</v>
      </c>
      <c r="C36" s="33" t="s">
        <v>6157</v>
      </c>
      <c r="D36" s="34" t="s">
        <v>44</v>
      </c>
      <c r="E36" s="33" t="s">
        <v>45</v>
      </c>
      <c r="F36" s="33" t="s">
        <v>6158</v>
      </c>
      <c r="G36" s="33" t="s">
        <v>6159</v>
      </c>
      <c r="H36" s="33" t="s">
        <v>6160</v>
      </c>
      <c r="I36" s="33"/>
      <c r="J36" s="32" t="s">
        <v>51</v>
      </c>
      <c r="K36" s="33"/>
    </row>
    <row r="37" spans="1:11" ht="48" customHeight="1">
      <c r="A37" s="33" t="s">
        <v>6161</v>
      </c>
      <c r="B37" s="33" t="s">
        <v>6146</v>
      </c>
      <c r="C37" s="33" t="s">
        <v>6162</v>
      </c>
      <c r="D37" s="34" t="s">
        <v>44</v>
      </c>
      <c r="E37" s="33" t="s">
        <v>46</v>
      </c>
      <c r="F37" s="33" t="s">
        <v>6163</v>
      </c>
      <c r="G37" s="33" t="s">
        <v>109</v>
      </c>
      <c r="H37" s="33" t="s">
        <v>6164</v>
      </c>
      <c r="I37" s="33"/>
      <c r="J37" s="32" t="s">
        <v>51</v>
      </c>
      <c r="K37" s="33"/>
    </row>
    <row r="38" spans="1:11" ht="48" customHeight="1">
      <c r="A38" s="30" t="s">
        <v>6165</v>
      </c>
      <c r="B38" s="30" t="s">
        <v>6166</v>
      </c>
      <c r="C38" s="30" t="s">
        <v>6167</v>
      </c>
      <c r="D38" s="31" t="s">
        <v>43</v>
      </c>
      <c r="E38" s="30" t="s">
        <v>45</v>
      </c>
      <c r="F38" s="30" t="s">
        <v>6168</v>
      </c>
      <c r="G38" s="30" t="s">
        <v>6169</v>
      </c>
      <c r="H38" s="30" t="s">
        <v>6170</v>
      </c>
      <c r="I38" s="30"/>
      <c r="J38" s="32" t="s">
        <v>51</v>
      </c>
      <c r="K38" s="30"/>
    </row>
    <row r="39" spans="1:11" ht="48" customHeight="1">
      <c r="A39" s="30" t="s">
        <v>6171</v>
      </c>
      <c r="B39" s="30" t="s">
        <v>6166</v>
      </c>
      <c r="C39" s="30" t="s">
        <v>6172</v>
      </c>
      <c r="D39" s="31" t="s">
        <v>43</v>
      </c>
      <c r="E39" s="30" t="s">
        <v>45</v>
      </c>
      <c r="F39" s="30" t="s">
        <v>6173</v>
      </c>
      <c r="G39" s="30" t="s">
        <v>109</v>
      </c>
      <c r="H39" s="30" t="s">
        <v>6174</v>
      </c>
      <c r="I39" s="30"/>
      <c r="J39" s="32" t="s">
        <v>51</v>
      </c>
      <c r="K39" s="30"/>
    </row>
    <row r="40" spans="1:11" ht="36" customHeight="1">
      <c r="A40" s="33" t="s">
        <v>6175</v>
      </c>
      <c r="B40" s="33" t="s">
        <v>6166</v>
      </c>
      <c r="C40" s="33" t="s">
        <v>6176</v>
      </c>
      <c r="D40" s="34" t="s">
        <v>44</v>
      </c>
      <c r="E40" s="33" t="s">
        <v>45</v>
      </c>
      <c r="F40" s="33" t="s">
        <v>6177</v>
      </c>
      <c r="G40" s="33" t="s">
        <v>6178</v>
      </c>
      <c r="H40" s="33" t="s">
        <v>6179</v>
      </c>
      <c r="I40" s="33"/>
      <c r="J40" s="32" t="s">
        <v>51</v>
      </c>
      <c r="K40" s="33"/>
    </row>
    <row r="41" spans="1:11" ht="36" customHeight="1">
      <c r="A41" s="33" t="s">
        <v>6180</v>
      </c>
      <c r="B41" s="33" t="s">
        <v>6166</v>
      </c>
      <c r="C41" s="33" t="s">
        <v>6181</v>
      </c>
      <c r="D41" s="34" t="s">
        <v>44</v>
      </c>
      <c r="E41" s="33" t="s">
        <v>46</v>
      </c>
      <c r="F41" s="33" t="s">
        <v>6182</v>
      </c>
      <c r="G41" s="33" t="s">
        <v>6183</v>
      </c>
      <c r="H41" s="33" t="s">
        <v>6184</v>
      </c>
      <c r="I41" s="33"/>
      <c r="J41" s="32" t="s">
        <v>51</v>
      </c>
      <c r="K41" s="33"/>
    </row>
    <row r="42" spans="1:11" ht="48" customHeight="1">
      <c r="A42" s="30" t="s">
        <v>6185</v>
      </c>
      <c r="B42" s="30" t="s">
        <v>6166</v>
      </c>
      <c r="C42" s="30" t="s">
        <v>6186</v>
      </c>
      <c r="D42" s="31" t="s">
        <v>43</v>
      </c>
      <c r="E42" s="30" t="s">
        <v>46</v>
      </c>
      <c r="F42" s="30" t="s">
        <v>6187</v>
      </c>
      <c r="G42" s="30" t="s">
        <v>109</v>
      </c>
      <c r="H42" s="30" t="s">
        <v>6188</v>
      </c>
      <c r="I42" s="30"/>
      <c r="J42" s="32" t="s">
        <v>51</v>
      </c>
      <c r="K42" s="30"/>
    </row>
    <row r="43" spans="1:11" ht="48" customHeight="1">
      <c r="A43" s="33" t="s">
        <v>6189</v>
      </c>
      <c r="B43" s="33" t="s">
        <v>6166</v>
      </c>
      <c r="C43" s="33" t="s">
        <v>6190</v>
      </c>
      <c r="D43" s="34" t="s">
        <v>44</v>
      </c>
      <c r="E43" s="33" t="s">
        <v>46</v>
      </c>
      <c r="F43" s="33" t="s">
        <v>6191</v>
      </c>
      <c r="G43" s="33" t="s">
        <v>6192</v>
      </c>
      <c r="H43" s="33" t="s">
        <v>6193</v>
      </c>
      <c r="I43" s="33"/>
      <c r="J43" s="32" t="s">
        <v>51</v>
      </c>
      <c r="K43" s="33"/>
    </row>
    <row r="44" spans="1:11" ht="48" customHeight="1">
      <c r="A44" s="30" t="s">
        <v>6194</v>
      </c>
      <c r="B44" s="30" t="s">
        <v>6195</v>
      </c>
      <c r="C44" s="30" t="s">
        <v>6196</v>
      </c>
      <c r="D44" s="31" t="s">
        <v>43</v>
      </c>
      <c r="E44" s="30" t="s">
        <v>45</v>
      </c>
      <c r="F44" s="30" t="s">
        <v>6197</v>
      </c>
      <c r="G44" s="30" t="s">
        <v>6198</v>
      </c>
      <c r="H44" s="30" t="s">
        <v>6199</v>
      </c>
      <c r="I44" s="30"/>
      <c r="J44" s="32" t="s">
        <v>51</v>
      </c>
      <c r="K44" s="30"/>
    </row>
    <row r="45" spans="1:11" ht="48" customHeight="1">
      <c r="A45" s="30" t="s">
        <v>6200</v>
      </c>
      <c r="B45" s="30" t="s">
        <v>6195</v>
      </c>
      <c r="C45" s="30" t="s">
        <v>6201</v>
      </c>
      <c r="D45" s="31" t="s">
        <v>43</v>
      </c>
      <c r="E45" s="30" t="s">
        <v>45</v>
      </c>
      <c r="F45" s="30" t="s">
        <v>6202</v>
      </c>
      <c r="G45" s="30" t="s">
        <v>6203</v>
      </c>
      <c r="H45" s="30" t="s">
        <v>6204</v>
      </c>
      <c r="I45" s="30"/>
      <c r="J45" s="32" t="s">
        <v>51</v>
      </c>
      <c r="K45" s="30"/>
    </row>
    <row r="46" spans="1:11" ht="36" customHeight="1">
      <c r="A46" s="33" t="s">
        <v>6205</v>
      </c>
      <c r="B46" s="33" t="s">
        <v>6195</v>
      </c>
      <c r="C46" s="33" t="s">
        <v>6206</v>
      </c>
      <c r="D46" s="34" t="s">
        <v>44</v>
      </c>
      <c r="E46" s="33" t="s">
        <v>45</v>
      </c>
      <c r="F46" s="33" t="s">
        <v>6207</v>
      </c>
      <c r="G46" s="33" t="s">
        <v>6208</v>
      </c>
      <c r="H46" s="33" t="s">
        <v>6209</v>
      </c>
      <c r="I46" s="33"/>
      <c r="J46" s="32" t="s">
        <v>51</v>
      </c>
      <c r="K46" s="33"/>
    </row>
    <row r="47" spans="1:11" ht="36" customHeight="1">
      <c r="A47" s="33" t="s">
        <v>6210</v>
      </c>
      <c r="B47" s="33" t="s">
        <v>6195</v>
      </c>
      <c r="C47" s="33" t="s">
        <v>6211</v>
      </c>
      <c r="D47" s="34" t="s">
        <v>44</v>
      </c>
      <c r="E47" s="33" t="s">
        <v>45</v>
      </c>
      <c r="F47" s="33" t="s">
        <v>6212</v>
      </c>
      <c r="G47" s="33" t="s">
        <v>6213</v>
      </c>
      <c r="H47" s="33" t="s">
        <v>6214</v>
      </c>
      <c r="I47" s="33"/>
      <c r="J47" s="32" t="s">
        <v>51</v>
      </c>
      <c r="K47" s="33"/>
    </row>
    <row r="48" spans="1:11" ht="36" customHeight="1">
      <c r="A48" s="33" t="s">
        <v>6215</v>
      </c>
      <c r="B48" s="33" t="s">
        <v>6195</v>
      </c>
      <c r="C48" s="33" t="s">
        <v>6216</v>
      </c>
      <c r="D48" s="34" t="s">
        <v>44</v>
      </c>
      <c r="E48" s="33" t="s">
        <v>46</v>
      </c>
      <c r="F48" s="33" t="s">
        <v>6217</v>
      </c>
      <c r="G48" s="33" t="s">
        <v>6218</v>
      </c>
      <c r="H48" s="33" t="s">
        <v>6219</v>
      </c>
      <c r="I48" s="33"/>
      <c r="J48" s="32" t="s">
        <v>51</v>
      </c>
      <c r="K48" s="33"/>
    </row>
    <row r="49" spans="1:11" ht="36" customHeight="1">
      <c r="A49" s="30" t="s">
        <v>6220</v>
      </c>
      <c r="B49" s="30" t="s">
        <v>6195</v>
      </c>
      <c r="C49" s="30" t="s">
        <v>6221</v>
      </c>
      <c r="D49" s="31" t="s">
        <v>43</v>
      </c>
      <c r="E49" s="30" t="s">
        <v>46</v>
      </c>
      <c r="F49" s="30" t="s">
        <v>6222</v>
      </c>
      <c r="G49" s="30" t="s">
        <v>109</v>
      </c>
      <c r="H49" s="30" t="s">
        <v>6223</v>
      </c>
      <c r="I49" s="30"/>
      <c r="J49" s="32" t="s">
        <v>51</v>
      </c>
      <c r="K49" s="30"/>
    </row>
    <row r="50" spans="1:11" ht="84" customHeight="1">
      <c r="A50" s="33" t="s">
        <v>6224</v>
      </c>
      <c r="B50" s="33" t="s">
        <v>6195</v>
      </c>
      <c r="C50" s="33" t="s">
        <v>6225</v>
      </c>
      <c r="D50" s="34" t="s">
        <v>44</v>
      </c>
      <c r="E50" s="33" t="s">
        <v>46</v>
      </c>
      <c r="F50" s="33" t="s">
        <v>6226</v>
      </c>
      <c r="G50" s="33" t="s">
        <v>6227</v>
      </c>
      <c r="H50" s="33" t="s">
        <v>6228</v>
      </c>
      <c r="I50" s="33"/>
      <c r="J50" s="32" t="s">
        <v>51</v>
      </c>
      <c r="K50" s="33" t="s">
        <v>6229</v>
      </c>
    </row>
    <row r="51" spans="1:11" ht="48" customHeight="1">
      <c r="A51" s="30" t="s">
        <v>6230</v>
      </c>
      <c r="B51" s="30" t="s">
        <v>6231</v>
      </c>
      <c r="C51" s="30" t="s">
        <v>6232</v>
      </c>
      <c r="D51" s="31" t="s">
        <v>43</v>
      </c>
      <c r="E51" s="30" t="s">
        <v>45</v>
      </c>
      <c r="F51" s="30" t="s">
        <v>6233</v>
      </c>
      <c r="G51" s="30" t="s">
        <v>6234</v>
      </c>
      <c r="H51" s="30" t="s">
        <v>6235</v>
      </c>
      <c r="I51" s="30"/>
      <c r="J51" s="32" t="s">
        <v>51</v>
      </c>
      <c r="K51" s="30"/>
    </row>
    <row r="52" spans="1:11" ht="36" customHeight="1">
      <c r="A52" s="30" t="s">
        <v>6236</v>
      </c>
      <c r="B52" s="30" t="s">
        <v>6231</v>
      </c>
      <c r="C52" s="30" t="s">
        <v>6237</v>
      </c>
      <c r="D52" s="31" t="s">
        <v>43</v>
      </c>
      <c r="E52" s="30" t="s">
        <v>45</v>
      </c>
      <c r="F52" s="30" t="s">
        <v>6238</v>
      </c>
      <c r="G52" s="30" t="s">
        <v>6239</v>
      </c>
      <c r="H52" s="30" t="s">
        <v>6240</v>
      </c>
      <c r="I52" s="30"/>
      <c r="J52" s="32" t="s">
        <v>51</v>
      </c>
      <c r="K52" s="30"/>
    </row>
    <row r="53" spans="1:11" ht="72" customHeight="1">
      <c r="A53" s="33" t="s">
        <v>6241</v>
      </c>
      <c r="B53" s="33" t="s">
        <v>6231</v>
      </c>
      <c r="C53" s="33" t="s">
        <v>6242</v>
      </c>
      <c r="D53" s="34" t="s">
        <v>44</v>
      </c>
      <c r="E53" s="33" t="s">
        <v>46</v>
      </c>
      <c r="F53" s="33" t="s">
        <v>6243</v>
      </c>
      <c r="G53" s="33" t="s">
        <v>6244</v>
      </c>
      <c r="H53" s="33" t="s">
        <v>6245</v>
      </c>
      <c r="I53" s="33"/>
      <c r="J53" s="32" t="s">
        <v>51</v>
      </c>
      <c r="K53" s="33" t="s">
        <v>6246</v>
      </c>
    </row>
    <row r="54" spans="1:11" ht="36" customHeight="1">
      <c r="A54" s="33" t="s">
        <v>6247</v>
      </c>
      <c r="B54" s="33" t="s">
        <v>6231</v>
      </c>
      <c r="C54" s="33" t="s">
        <v>6248</v>
      </c>
      <c r="D54" s="34" t="s">
        <v>44</v>
      </c>
      <c r="E54" s="33" t="s">
        <v>45</v>
      </c>
      <c r="F54" s="33" t="s">
        <v>6249</v>
      </c>
      <c r="G54" s="33" t="s">
        <v>6250</v>
      </c>
      <c r="H54" s="33" t="s">
        <v>6251</v>
      </c>
      <c r="I54" s="33"/>
      <c r="J54" s="32" t="s">
        <v>51</v>
      </c>
      <c r="K54" s="33"/>
    </row>
    <row r="55" spans="1:11" ht="36" customHeight="1">
      <c r="A55" s="33" t="s">
        <v>6252</v>
      </c>
      <c r="B55" s="33" t="s">
        <v>6231</v>
      </c>
      <c r="C55" s="33" t="s">
        <v>6253</v>
      </c>
      <c r="D55" s="34" t="s">
        <v>44</v>
      </c>
      <c r="E55" s="33" t="s">
        <v>45</v>
      </c>
      <c r="F55" s="33" t="s">
        <v>6254</v>
      </c>
      <c r="G55" s="33" t="s">
        <v>6255</v>
      </c>
      <c r="H55" s="33" t="s">
        <v>6256</v>
      </c>
      <c r="I55" s="33"/>
      <c r="J55" s="32" t="s">
        <v>51</v>
      </c>
      <c r="K55" s="33"/>
    </row>
    <row r="56" spans="1:11" ht="48" customHeight="1">
      <c r="A56" s="30" t="s">
        <v>6257</v>
      </c>
      <c r="B56" s="30" t="s">
        <v>6231</v>
      </c>
      <c r="C56" s="30" t="s">
        <v>6258</v>
      </c>
      <c r="D56" s="31" t="s">
        <v>43</v>
      </c>
      <c r="E56" s="30" t="s">
        <v>46</v>
      </c>
      <c r="F56" s="30" t="s">
        <v>6259</v>
      </c>
      <c r="G56" s="30" t="s">
        <v>6260</v>
      </c>
      <c r="H56" s="30" t="s">
        <v>6261</v>
      </c>
      <c r="I56" s="30"/>
      <c r="J56" s="32" t="s">
        <v>51</v>
      </c>
      <c r="K56" s="30"/>
    </row>
    <row r="57" spans="1:11" ht="36" customHeight="1">
      <c r="A57" s="30" t="s">
        <v>6262</v>
      </c>
      <c r="B57" s="30" t="s">
        <v>6263</v>
      </c>
      <c r="C57" s="30" t="s">
        <v>6264</v>
      </c>
      <c r="D57" s="31" t="s">
        <v>43</v>
      </c>
      <c r="E57" s="30" t="s">
        <v>45</v>
      </c>
      <c r="F57" s="30" t="s">
        <v>6265</v>
      </c>
      <c r="G57" s="30" t="s">
        <v>6266</v>
      </c>
      <c r="H57" s="30" t="s">
        <v>6267</v>
      </c>
      <c r="I57" s="30"/>
      <c r="J57" s="32" t="s">
        <v>51</v>
      </c>
      <c r="K57" s="30"/>
    </row>
    <row r="58" spans="1:11" ht="36" customHeight="1">
      <c r="A58" s="30" t="s">
        <v>6268</v>
      </c>
      <c r="B58" s="30" t="s">
        <v>6263</v>
      </c>
      <c r="C58" s="30" t="s">
        <v>6269</v>
      </c>
      <c r="D58" s="31" t="s">
        <v>43</v>
      </c>
      <c r="E58" s="30" t="s">
        <v>45</v>
      </c>
      <c r="F58" s="30" t="s">
        <v>6270</v>
      </c>
      <c r="G58" s="30" t="s">
        <v>6266</v>
      </c>
      <c r="H58" s="30" t="s">
        <v>6271</v>
      </c>
      <c r="I58" s="30"/>
      <c r="J58" s="32" t="s">
        <v>51</v>
      </c>
      <c r="K58" s="30"/>
    </row>
    <row r="59" spans="1:11" ht="36" customHeight="1">
      <c r="A59" s="30" t="s">
        <v>6272</v>
      </c>
      <c r="B59" s="30" t="s">
        <v>6263</v>
      </c>
      <c r="C59" s="30" t="s">
        <v>6273</v>
      </c>
      <c r="D59" s="31" t="s">
        <v>43</v>
      </c>
      <c r="E59" s="30" t="s">
        <v>45</v>
      </c>
      <c r="F59" s="30" t="s">
        <v>6274</v>
      </c>
      <c r="G59" s="30" t="s">
        <v>6275</v>
      </c>
      <c r="H59" s="30" t="s">
        <v>6267</v>
      </c>
      <c r="I59" s="30"/>
      <c r="J59" s="32" t="s">
        <v>51</v>
      </c>
      <c r="K59" s="30"/>
    </row>
    <row r="60" spans="1:11" ht="36" customHeight="1">
      <c r="A60" s="30" t="s">
        <v>6276</v>
      </c>
      <c r="B60" s="30" t="s">
        <v>6263</v>
      </c>
      <c r="C60" s="30" t="s">
        <v>6277</v>
      </c>
      <c r="D60" s="31" t="s">
        <v>43</v>
      </c>
      <c r="E60" s="30" t="s">
        <v>45</v>
      </c>
      <c r="F60" s="30" t="s">
        <v>6278</v>
      </c>
      <c r="G60" s="30" t="s">
        <v>6275</v>
      </c>
      <c r="H60" s="30" t="s">
        <v>6271</v>
      </c>
      <c r="I60" s="30"/>
      <c r="J60" s="32" t="s">
        <v>51</v>
      </c>
      <c r="K60" s="30"/>
    </row>
    <row r="61" spans="1:11" ht="36" customHeight="1">
      <c r="A61" s="30" t="s">
        <v>6279</v>
      </c>
      <c r="B61" s="30" t="s">
        <v>6263</v>
      </c>
      <c r="C61" s="30" t="s">
        <v>6280</v>
      </c>
      <c r="D61" s="31" t="s">
        <v>43</v>
      </c>
      <c r="E61" s="30" t="s">
        <v>45</v>
      </c>
      <c r="F61" s="30" t="s">
        <v>6281</v>
      </c>
      <c r="G61" s="30" t="s">
        <v>6282</v>
      </c>
      <c r="H61" s="30" t="s">
        <v>6283</v>
      </c>
      <c r="I61" s="30"/>
      <c r="J61" s="32" t="s">
        <v>51</v>
      </c>
      <c r="K61" s="30"/>
    </row>
    <row r="62" spans="1:11" ht="36" customHeight="1">
      <c r="A62" s="33" t="s">
        <v>6284</v>
      </c>
      <c r="B62" s="33" t="s">
        <v>6263</v>
      </c>
      <c r="C62" s="33" t="s">
        <v>6285</v>
      </c>
      <c r="D62" s="34" t="s">
        <v>44</v>
      </c>
      <c r="E62" s="33" t="s">
        <v>46</v>
      </c>
      <c r="F62" s="33" t="s">
        <v>6286</v>
      </c>
      <c r="G62" s="33" t="s">
        <v>6287</v>
      </c>
      <c r="H62" s="33" t="s">
        <v>6288</v>
      </c>
      <c r="I62" s="33"/>
      <c r="J62" s="32" t="s">
        <v>51</v>
      </c>
      <c r="K62" s="33"/>
    </row>
    <row r="63" spans="1:11" ht="36" customHeight="1">
      <c r="A63" s="33" t="s">
        <v>6289</v>
      </c>
      <c r="B63" s="33" t="s">
        <v>6263</v>
      </c>
      <c r="C63" s="33" t="s">
        <v>6290</v>
      </c>
      <c r="D63" s="34" t="s">
        <v>44</v>
      </c>
      <c r="E63" s="33" t="s">
        <v>46</v>
      </c>
      <c r="F63" s="33" t="s">
        <v>6291</v>
      </c>
      <c r="G63" s="33" t="s">
        <v>6292</v>
      </c>
      <c r="H63" s="33" t="s">
        <v>6293</v>
      </c>
      <c r="I63" s="33"/>
      <c r="J63" s="32" t="s">
        <v>51</v>
      </c>
      <c r="K63" s="33"/>
    </row>
    <row r="64" spans="1:11" ht="48" customHeight="1">
      <c r="A64" s="30" t="s">
        <v>6294</v>
      </c>
      <c r="B64" s="30" t="s">
        <v>6263</v>
      </c>
      <c r="C64" s="30" t="s">
        <v>6295</v>
      </c>
      <c r="D64" s="31" t="s">
        <v>43</v>
      </c>
      <c r="E64" s="30" t="s">
        <v>46</v>
      </c>
      <c r="F64" s="30" t="s">
        <v>6296</v>
      </c>
      <c r="G64" s="30" t="s">
        <v>6297</v>
      </c>
      <c r="H64" s="30" t="s">
        <v>6298</v>
      </c>
      <c r="I64" s="30"/>
      <c r="J64" s="32" t="s">
        <v>51</v>
      </c>
      <c r="K64" s="30"/>
    </row>
    <row r="65" spans="1:11" ht="36" customHeight="1">
      <c r="A65" s="33" t="s">
        <v>6299</v>
      </c>
      <c r="B65" s="33" t="s">
        <v>6263</v>
      </c>
      <c r="C65" s="33" t="s">
        <v>6300</v>
      </c>
      <c r="D65" s="34" t="s">
        <v>44</v>
      </c>
      <c r="E65" s="33" t="s">
        <v>45</v>
      </c>
      <c r="F65" s="33" t="s">
        <v>6301</v>
      </c>
      <c r="G65" s="33" t="s">
        <v>6302</v>
      </c>
      <c r="H65" s="33" t="s">
        <v>6303</v>
      </c>
      <c r="I65" s="33"/>
      <c r="J65" s="32" t="s">
        <v>51</v>
      </c>
      <c r="K65" s="33"/>
    </row>
    <row r="66" spans="1:11" ht="36" customHeight="1">
      <c r="A66" s="30" t="s">
        <v>6304</v>
      </c>
      <c r="B66" s="30" t="s">
        <v>6305</v>
      </c>
      <c r="C66" s="30" t="s">
        <v>6306</v>
      </c>
      <c r="D66" s="31" t="s">
        <v>43</v>
      </c>
      <c r="E66" s="30" t="s">
        <v>45</v>
      </c>
      <c r="F66" s="30" t="s">
        <v>6307</v>
      </c>
      <c r="G66" s="30" t="s">
        <v>6308</v>
      </c>
      <c r="H66" s="30" t="s">
        <v>6309</v>
      </c>
      <c r="I66" s="30"/>
      <c r="J66" s="32" t="s">
        <v>51</v>
      </c>
      <c r="K66" s="30"/>
    </row>
    <row r="67" spans="1:11" ht="36" customHeight="1">
      <c r="A67" s="30" t="s">
        <v>6310</v>
      </c>
      <c r="B67" s="30" t="s">
        <v>6305</v>
      </c>
      <c r="C67" s="30" t="s">
        <v>6311</v>
      </c>
      <c r="D67" s="31" t="s">
        <v>43</v>
      </c>
      <c r="E67" s="30" t="s">
        <v>46</v>
      </c>
      <c r="F67" s="30" t="s">
        <v>6312</v>
      </c>
      <c r="G67" s="30" t="s">
        <v>109</v>
      </c>
      <c r="H67" s="30" t="s">
        <v>6313</v>
      </c>
      <c r="I67" s="30"/>
      <c r="J67" s="32" t="s">
        <v>51</v>
      </c>
      <c r="K67" s="30"/>
    </row>
    <row r="68" spans="1:11" ht="36" customHeight="1">
      <c r="A68" s="33" t="s">
        <v>6314</v>
      </c>
      <c r="B68" s="33" t="s">
        <v>6305</v>
      </c>
      <c r="C68" s="33" t="s">
        <v>6315</v>
      </c>
      <c r="D68" s="34" t="s">
        <v>44</v>
      </c>
      <c r="E68" s="33" t="s">
        <v>45</v>
      </c>
      <c r="F68" s="33" t="s">
        <v>6316</v>
      </c>
      <c r="G68" s="33" t="s">
        <v>6317</v>
      </c>
      <c r="H68" s="33" t="s">
        <v>6318</v>
      </c>
      <c r="I68" s="33"/>
      <c r="J68" s="32" t="s">
        <v>51</v>
      </c>
      <c r="K68" s="33"/>
    </row>
    <row r="69" spans="1:11" ht="36" customHeight="1">
      <c r="A69" s="33" t="s">
        <v>6319</v>
      </c>
      <c r="B69" s="33" t="s">
        <v>6305</v>
      </c>
      <c r="C69" s="33" t="s">
        <v>6320</v>
      </c>
      <c r="D69" s="34" t="s">
        <v>44</v>
      </c>
      <c r="E69" s="33" t="s">
        <v>46</v>
      </c>
      <c r="F69" s="33" t="s">
        <v>6321</v>
      </c>
      <c r="G69" s="33" t="s">
        <v>6322</v>
      </c>
      <c r="H69" s="33" t="s">
        <v>6323</v>
      </c>
      <c r="I69" s="33"/>
      <c r="J69" s="32" t="s">
        <v>51</v>
      </c>
      <c r="K69" s="33"/>
    </row>
    <row r="70" spans="1:11" ht="36" customHeight="1">
      <c r="A70" s="33" t="s">
        <v>6324</v>
      </c>
      <c r="B70" s="33" t="s">
        <v>6305</v>
      </c>
      <c r="C70" s="33" t="s">
        <v>6325</v>
      </c>
      <c r="D70" s="34" t="s">
        <v>44</v>
      </c>
      <c r="E70" s="33" t="s">
        <v>46</v>
      </c>
      <c r="F70" s="33" t="s">
        <v>6326</v>
      </c>
      <c r="G70" s="33" t="s">
        <v>109</v>
      </c>
      <c r="H70" s="33" t="s">
        <v>6327</v>
      </c>
      <c r="I70" s="33"/>
      <c r="J70" s="32" t="s">
        <v>51</v>
      </c>
      <c r="K70" s="33"/>
    </row>
    <row r="71" spans="1:11" ht="36" customHeight="1">
      <c r="A71" s="30" t="s">
        <v>6328</v>
      </c>
      <c r="B71" s="30" t="s">
        <v>6329</v>
      </c>
      <c r="C71" s="30" t="s">
        <v>6330</v>
      </c>
      <c r="D71" s="31" t="s">
        <v>43</v>
      </c>
      <c r="E71" s="30" t="s">
        <v>45</v>
      </c>
      <c r="F71" s="30" t="s">
        <v>6331</v>
      </c>
      <c r="G71" s="30" t="s">
        <v>6332</v>
      </c>
      <c r="H71" s="30" t="s">
        <v>6333</v>
      </c>
      <c r="I71" s="30"/>
      <c r="J71" s="32" t="s">
        <v>51</v>
      </c>
      <c r="K71" s="30"/>
    </row>
    <row r="72" spans="1:11" ht="48" customHeight="1">
      <c r="A72" s="30" t="s">
        <v>6334</v>
      </c>
      <c r="B72" s="30" t="s">
        <v>6329</v>
      </c>
      <c r="C72" s="30" t="s">
        <v>6335</v>
      </c>
      <c r="D72" s="31" t="s">
        <v>43</v>
      </c>
      <c r="E72" s="30" t="s">
        <v>45</v>
      </c>
      <c r="F72" s="30" t="s">
        <v>6336</v>
      </c>
      <c r="G72" s="30" t="s">
        <v>6337</v>
      </c>
      <c r="H72" s="30" t="s">
        <v>6338</v>
      </c>
      <c r="I72" s="30"/>
      <c r="J72" s="32" t="s">
        <v>51</v>
      </c>
      <c r="K72" s="30"/>
    </row>
    <row r="73" spans="1:11" ht="48" customHeight="1">
      <c r="A73" s="30" t="s">
        <v>6339</v>
      </c>
      <c r="B73" s="30" t="s">
        <v>6329</v>
      </c>
      <c r="C73" s="30" t="s">
        <v>6340</v>
      </c>
      <c r="D73" s="31" t="s">
        <v>43</v>
      </c>
      <c r="E73" s="30" t="s">
        <v>46</v>
      </c>
      <c r="F73" s="30" t="s">
        <v>6341</v>
      </c>
      <c r="G73" s="30" t="s">
        <v>6342</v>
      </c>
      <c r="H73" s="30" t="s">
        <v>6343</v>
      </c>
      <c r="I73" s="30"/>
      <c r="J73" s="32" t="s">
        <v>51</v>
      </c>
      <c r="K73" s="30"/>
    </row>
    <row r="74" spans="1:11" ht="48" customHeight="1">
      <c r="A74" s="30" t="s">
        <v>6344</v>
      </c>
      <c r="B74" s="30" t="s">
        <v>6329</v>
      </c>
      <c r="C74" s="30" t="s">
        <v>6345</v>
      </c>
      <c r="D74" s="31" t="s">
        <v>43</v>
      </c>
      <c r="E74" s="30" t="s">
        <v>45</v>
      </c>
      <c r="F74" s="30" t="s">
        <v>6346</v>
      </c>
      <c r="G74" s="30" t="s">
        <v>6347</v>
      </c>
      <c r="H74" s="30" t="s">
        <v>6348</v>
      </c>
      <c r="I74" s="30"/>
      <c r="J74" s="32" t="s">
        <v>51</v>
      </c>
      <c r="K74" s="30"/>
    </row>
    <row r="75" spans="1:11" ht="48" customHeight="1">
      <c r="A75" s="33" t="s">
        <v>6349</v>
      </c>
      <c r="B75" s="33" t="s">
        <v>6329</v>
      </c>
      <c r="C75" s="33" t="s">
        <v>6350</v>
      </c>
      <c r="D75" s="34" t="s">
        <v>44</v>
      </c>
      <c r="E75" s="33" t="s">
        <v>46</v>
      </c>
      <c r="F75" s="33" t="s">
        <v>6351</v>
      </c>
      <c r="G75" s="33" t="s">
        <v>6352</v>
      </c>
      <c r="H75" s="33" t="s">
        <v>6353</v>
      </c>
      <c r="I75" s="33"/>
      <c r="J75" s="32" t="s">
        <v>51</v>
      </c>
      <c r="K75" s="33"/>
    </row>
    <row r="76" spans="1:11" ht="36" customHeight="1">
      <c r="A76" s="33" t="s">
        <v>6354</v>
      </c>
      <c r="B76" s="33" t="s">
        <v>6329</v>
      </c>
      <c r="C76" s="33" t="s">
        <v>6355</v>
      </c>
      <c r="D76" s="34" t="s">
        <v>44</v>
      </c>
      <c r="E76" s="33" t="s">
        <v>46</v>
      </c>
      <c r="F76" s="33" t="s">
        <v>6356</v>
      </c>
      <c r="G76" s="33" t="s">
        <v>6357</v>
      </c>
      <c r="H76" s="33" t="s">
        <v>6358</v>
      </c>
      <c r="I76" s="33"/>
      <c r="J76" s="32" t="s">
        <v>51</v>
      </c>
      <c r="K76" s="33"/>
    </row>
    <row r="77" spans="1:11" ht="36" customHeight="1">
      <c r="A77" s="33" t="s">
        <v>6359</v>
      </c>
      <c r="B77" s="33" t="s">
        <v>6329</v>
      </c>
      <c r="C77" s="33" t="s">
        <v>6360</v>
      </c>
      <c r="D77" s="34" t="s">
        <v>44</v>
      </c>
      <c r="E77" s="33" t="s">
        <v>45</v>
      </c>
      <c r="F77" s="33" t="s">
        <v>6361</v>
      </c>
      <c r="G77" s="33" t="s">
        <v>6362</v>
      </c>
      <c r="H77" s="33" t="s">
        <v>6363</v>
      </c>
      <c r="I77" s="33"/>
      <c r="J77" s="32" t="s">
        <v>51</v>
      </c>
      <c r="K77" s="33"/>
    </row>
    <row r="78" spans="1:11" ht="48" customHeight="1">
      <c r="A78" s="33" t="s">
        <v>6364</v>
      </c>
      <c r="B78" s="33" t="s">
        <v>6329</v>
      </c>
      <c r="C78" s="33" t="s">
        <v>6365</v>
      </c>
      <c r="D78" s="34" t="s">
        <v>44</v>
      </c>
      <c r="E78" s="33" t="s">
        <v>46</v>
      </c>
      <c r="F78" s="33" t="s">
        <v>6366</v>
      </c>
      <c r="G78" s="33" t="s">
        <v>6292</v>
      </c>
      <c r="H78" s="33" t="s">
        <v>6367</v>
      </c>
      <c r="I78" s="33"/>
      <c r="J78" s="32" t="s">
        <v>51</v>
      </c>
      <c r="K78" s="33"/>
    </row>
    <row r="79" spans="1:11" ht="36" customHeight="1">
      <c r="A79" s="30" t="s">
        <v>6368</v>
      </c>
      <c r="B79" s="30" t="s">
        <v>6369</v>
      </c>
      <c r="C79" s="30" t="s">
        <v>6370</v>
      </c>
      <c r="D79" s="31" t="s">
        <v>43</v>
      </c>
      <c r="E79" s="30" t="s">
        <v>46</v>
      </c>
      <c r="F79" s="30" t="s">
        <v>6371</v>
      </c>
      <c r="G79" s="30" t="s">
        <v>109</v>
      </c>
      <c r="H79" s="30" t="s">
        <v>6372</v>
      </c>
      <c r="I79" s="30"/>
      <c r="J79" s="32" t="s">
        <v>51</v>
      </c>
      <c r="K79" s="30"/>
    </row>
    <row r="80" spans="1:11" ht="48" customHeight="1">
      <c r="A80" s="33" t="s">
        <v>6373</v>
      </c>
      <c r="B80" s="33" t="s">
        <v>6369</v>
      </c>
      <c r="C80" s="33" t="s">
        <v>6374</v>
      </c>
      <c r="D80" s="34" t="s">
        <v>44</v>
      </c>
      <c r="E80" s="33" t="s">
        <v>45</v>
      </c>
      <c r="F80" s="33" t="s">
        <v>6375</v>
      </c>
      <c r="G80" s="33" t="s">
        <v>109</v>
      </c>
      <c r="H80" s="33" t="s">
        <v>6376</v>
      </c>
      <c r="I80" s="33"/>
      <c r="J80" s="32" t="s">
        <v>51</v>
      </c>
      <c r="K80" s="33"/>
    </row>
    <row r="81" spans="1:11" ht="36" customHeight="1">
      <c r="A81" s="30" t="s">
        <v>6377</v>
      </c>
      <c r="B81" s="30" t="s">
        <v>6369</v>
      </c>
      <c r="C81" s="30" t="s">
        <v>6378</v>
      </c>
      <c r="D81" s="31" t="s">
        <v>43</v>
      </c>
      <c r="E81" s="30" t="s">
        <v>47</v>
      </c>
      <c r="F81" s="30" t="s">
        <v>6379</v>
      </c>
      <c r="G81" s="30" t="s">
        <v>109</v>
      </c>
      <c r="H81" s="30" t="s">
        <v>6380</v>
      </c>
      <c r="I81" s="30"/>
      <c r="J81" s="32" t="s">
        <v>51</v>
      </c>
      <c r="K81" s="30"/>
    </row>
    <row r="82" spans="1:11" ht="72" customHeight="1">
      <c r="A82" s="33" t="s">
        <v>6381</v>
      </c>
      <c r="B82" s="33" t="s">
        <v>6369</v>
      </c>
      <c r="C82" s="33" t="s">
        <v>6382</v>
      </c>
      <c r="D82" s="34" t="s">
        <v>44</v>
      </c>
      <c r="E82" s="33" t="s">
        <v>46</v>
      </c>
      <c r="F82" s="33" t="s">
        <v>6383</v>
      </c>
      <c r="G82" s="33" t="s">
        <v>6384</v>
      </c>
      <c r="H82" s="33" t="s">
        <v>6385</v>
      </c>
      <c r="I82" s="33"/>
      <c r="J82" s="32" t="s">
        <v>51</v>
      </c>
      <c r="K82" s="33" t="s">
        <v>6386</v>
      </c>
    </row>
  </sheetData>
  <autoFilter ref="A1:K82" xr:uid="{00000000-0009-0000-0000-000014000000}"/>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5"/>
  <sheetViews>
    <sheetView tabSelected="1" topLeftCell="A2" zoomScaleNormal="100" workbookViewId="0">
      <selection activeCell="C5" sqref="C5"/>
    </sheetView>
  </sheetViews>
  <sheetFormatPr defaultColWidth="8.7109375" defaultRowHeight="15"/>
  <cols>
    <col min="1" max="1" width="16" customWidth="1"/>
    <col min="2" max="2" width="24" customWidth="1"/>
    <col min="3" max="3" width="42" customWidth="1"/>
    <col min="4" max="4" width="20" customWidth="1"/>
    <col min="5" max="5" width="10" customWidth="1"/>
    <col min="6" max="6" width="45" customWidth="1"/>
    <col min="7" max="7" width="30" customWidth="1"/>
    <col min="8" max="8" width="45" customWidth="1"/>
    <col min="9" max="9" width="30" customWidth="1"/>
    <col min="10" max="10" width="14" customWidth="1"/>
    <col min="11" max="11" width="42" customWidth="1"/>
  </cols>
  <sheetData>
    <row r="1" spans="1:11">
      <c r="A1" s="29" t="s">
        <v>79</v>
      </c>
      <c r="B1" s="29" t="s">
        <v>80</v>
      </c>
      <c r="C1" s="29" t="s">
        <v>81</v>
      </c>
      <c r="D1" s="29" t="s">
        <v>82</v>
      </c>
      <c r="E1" s="29" t="s">
        <v>83</v>
      </c>
      <c r="F1" s="29" t="s">
        <v>84</v>
      </c>
      <c r="G1" s="29" t="s">
        <v>85</v>
      </c>
      <c r="H1" s="29" t="s">
        <v>86</v>
      </c>
      <c r="I1" s="29" t="s">
        <v>87</v>
      </c>
      <c r="J1" s="29" t="s">
        <v>88</v>
      </c>
      <c r="K1" s="29" t="s">
        <v>89</v>
      </c>
    </row>
    <row r="2" spans="1:11" ht="36" customHeight="1">
      <c r="A2" s="30" t="s">
        <v>6387</v>
      </c>
      <c r="B2" s="30" t="s">
        <v>6388</v>
      </c>
      <c r="C2" s="30" t="s">
        <v>6389</v>
      </c>
      <c r="D2" s="31" t="s">
        <v>43</v>
      </c>
      <c r="E2" s="30" t="s">
        <v>45</v>
      </c>
      <c r="F2" s="30" t="s">
        <v>6390</v>
      </c>
      <c r="G2" s="30" t="s">
        <v>6391</v>
      </c>
      <c r="H2" s="30" t="s">
        <v>6392</v>
      </c>
      <c r="I2" s="30"/>
      <c r="J2" s="32" t="s">
        <v>51</v>
      </c>
      <c r="K2" s="30" t="s">
        <v>6393</v>
      </c>
    </row>
    <row r="3" spans="1:11" ht="24" customHeight="1">
      <c r="A3" s="33" t="s">
        <v>6394</v>
      </c>
      <c r="B3" s="33" t="s">
        <v>6388</v>
      </c>
      <c r="C3" s="33" t="s">
        <v>6395</v>
      </c>
      <c r="D3" s="34" t="s">
        <v>44</v>
      </c>
      <c r="E3" s="33" t="s">
        <v>45</v>
      </c>
      <c r="F3" s="33" t="s">
        <v>6396</v>
      </c>
      <c r="G3" s="33" t="s">
        <v>6397</v>
      </c>
      <c r="H3" s="33" t="s">
        <v>6398</v>
      </c>
      <c r="I3" s="33"/>
      <c r="J3" s="32" t="s">
        <v>51</v>
      </c>
      <c r="K3" s="33"/>
    </row>
    <row r="4" spans="1:11" ht="36" customHeight="1">
      <c r="A4" s="30" t="s">
        <v>6399</v>
      </c>
      <c r="B4" s="30" t="s">
        <v>6388</v>
      </c>
      <c r="C4" s="30" t="s">
        <v>6400</v>
      </c>
      <c r="D4" s="31" t="s">
        <v>43</v>
      </c>
      <c r="E4" s="30" t="s">
        <v>45</v>
      </c>
      <c r="F4" s="30" t="s">
        <v>6401</v>
      </c>
      <c r="G4" s="30" t="s">
        <v>6402</v>
      </c>
      <c r="H4" s="30" t="s">
        <v>6403</v>
      </c>
      <c r="I4" s="30"/>
      <c r="J4" s="32" t="s">
        <v>51</v>
      </c>
      <c r="K4" s="30" t="s">
        <v>6393</v>
      </c>
    </row>
    <row r="5" spans="1:11" ht="36" customHeight="1">
      <c r="A5" s="33" t="s">
        <v>6404</v>
      </c>
      <c r="B5" s="33" t="s">
        <v>6388</v>
      </c>
      <c r="C5" s="33" t="s">
        <v>6405</v>
      </c>
      <c r="D5" s="34" t="s">
        <v>44</v>
      </c>
      <c r="E5" s="33" t="s">
        <v>46</v>
      </c>
      <c r="F5" s="33" t="s">
        <v>6406</v>
      </c>
      <c r="G5" s="33" t="s">
        <v>6287</v>
      </c>
      <c r="H5" s="33" t="s">
        <v>6407</v>
      </c>
      <c r="I5" s="33"/>
      <c r="J5" s="32" t="s">
        <v>51</v>
      </c>
      <c r="K5" s="33"/>
    </row>
    <row r="6" spans="1:11" ht="36" customHeight="1">
      <c r="A6" s="30" t="s">
        <v>6408</v>
      </c>
      <c r="B6" s="30" t="s">
        <v>6388</v>
      </c>
      <c r="C6" s="30" t="s">
        <v>6409</v>
      </c>
      <c r="D6" s="31" t="s">
        <v>43</v>
      </c>
      <c r="E6" s="30" t="s">
        <v>45</v>
      </c>
      <c r="F6" s="30" t="s">
        <v>6410</v>
      </c>
      <c r="G6" s="30" t="s">
        <v>6402</v>
      </c>
      <c r="H6" s="30" t="s">
        <v>6411</v>
      </c>
      <c r="I6" s="30"/>
      <c r="J6" s="32" t="s">
        <v>51</v>
      </c>
      <c r="K6" s="30" t="s">
        <v>6393</v>
      </c>
    </row>
    <row r="7" spans="1:11" ht="48" customHeight="1">
      <c r="A7" s="33" t="s">
        <v>6412</v>
      </c>
      <c r="B7" s="33" t="s">
        <v>6388</v>
      </c>
      <c r="C7" s="33" t="s">
        <v>6413</v>
      </c>
      <c r="D7" s="34" t="s">
        <v>44</v>
      </c>
      <c r="E7" s="33" t="s">
        <v>45</v>
      </c>
      <c r="F7" s="33" t="s">
        <v>6414</v>
      </c>
      <c r="G7" s="33" t="s">
        <v>6415</v>
      </c>
      <c r="H7" s="33" t="s">
        <v>6416</v>
      </c>
      <c r="I7" s="33"/>
      <c r="J7" s="32" t="s">
        <v>51</v>
      </c>
      <c r="K7" s="33"/>
    </row>
    <row r="8" spans="1:11" ht="36" customHeight="1">
      <c r="A8" s="30" t="s">
        <v>6417</v>
      </c>
      <c r="B8" s="30" t="s">
        <v>6388</v>
      </c>
      <c r="C8" s="30" t="s">
        <v>6418</v>
      </c>
      <c r="D8" s="31" t="s">
        <v>43</v>
      </c>
      <c r="E8" s="30" t="s">
        <v>45</v>
      </c>
      <c r="F8" s="30" t="s">
        <v>6419</v>
      </c>
      <c r="G8" s="30" t="s">
        <v>6402</v>
      </c>
      <c r="H8" s="30" t="s">
        <v>6420</v>
      </c>
      <c r="I8" s="30"/>
      <c r="J8" s="32" t="s">
        <v>51</v>
      </c>
      <c r="K8" s="30" t="s">
        <v>6393</v>
      </c>
    </row>
    <row r="9" spans="1:11" ht="48" customHeight="1">
      <c r="A9" s="33" t="s">
        <v>6421</v>
      </c>
      <c r="B9" s="33" t="s">
        <v>6388</v>
      </c>
      <c r="C9" s="33" t="s">
        <v>6422</v>
      </c>
      <c r="D9" s="34" t="s">
        <v>44</v>
      </c>
      <c r="E9" s="33" t="s">
        <v>46</v>
      </c>
      <c r="F9" s="33" t="s">
        <v>6423</v>
      </c>
      <c r="G9" s="33" t="s">
        <v>6424</v>
      </c>
      <c r="H9" s="33" t="s">
        <v>6425</v>
      </c>
      <c r="I9" s="33"/>
      <c r="J9" s="32" t="s">
        <v>51</v>
      </c>
      <c r="K9" s="33" t="s">
        <v>6426</v>
      </c>
    </row>
    <row r="10" spans="1:11" ht="36" customHeight="1">
      <c r="A10" s="30" t="s">
        <v>6427</v>
      </c>
      <c r="B10" s="30" t="s">
        <v>6388</v>
      </c>
      <c r="C10" s="30" t="s">
        <v>6428</v>
      </c>
      <c r="D10" s="31" t="s">
        <v>43</v>
      </c>
      <c r="E10" s="30" t="s">
        <v>45</v>
      </c>
      <c r="F10" s="30" t="s">
        <v>6429</v>
      </c>
      <c r="G10" s="30" t="s">
        <v>6402</v>
      </c>
      <c r="H10" s="30" t="s">
        <v>6430</v>
      </c>
      <c r="I10" s="30"/>
      <c r="J10" s="32" t="s">
        <v>51</v>
      </c>
      <c r="K10" s="30" t="s">
        <v>6393</v>
      </c>
    </row>
    <row r="11" spans="1:11" ht="24" customHeight="1">
      <c r="A11" s="33" t="s">
        <v>6431</v>
      </c>
      <c r="B11" s="33" t="s">
        <v>6388</v>
      </c>
      <c r="C11" s="33" t="s">
        <v>6432</v>
      </c>
      <c r="D11" s="34" t="s">
        <v>44</v>
      </c>
      <c r="E11" s="33" t="s">
        <v>45</v>
      </c>
      <c r="F11" s="33" t="s">
        <v>6433</v>
      </c>
      <c r="G11" s="33" t="s">
        <v>6434</v>
      </c>
      <c r="H11" s="33" t="s">
        <v>6435</v>
      </c>
      <c r="I11" s="33"/>
      <c r="J11" s="32" t="s">
        <v>51</v>
      </c>
      <c r="K11" s="33"/>
    </row>
    <row r="12" spans="1:11" ht="36" customHeight="1">
      <c r="A12" s="30" t="s">
        <v>6436</v>
      </c>
      <c r="B12" s="30" t="s">
        <v>6388</v>
      </c>
      <c r="C12" s="30" t="s">
        <v>6437</v>
      </c>
      <c r="D12" s="31" t="s">
        <v>43</v>
      </c>
      <c r="E12" s="30" t="s">
        <v>45</v>
      </c>
      <c r="F12" s="30" t="s">
        <v>6438</v>
      </c>
      <c r="G12" s="30" t="s">
        <v>6439</v>
      </c>
      <c r="H12" s="30" t="s">
        <v>6440</v>
      </c>
      <c r="I12" s="30"/>
      <c r="J12" s="32" t="s">
        <v>51</v>
      </c>
      <c r="K12" s="30" t="s">
        <v>6441</v>
      </c>
    </row>
    <row r="13" spans="1:11" ht="36" customHeight="1">
      <c r="A13" s="30" t="s">
        <v>6442</v>
      </c>
      <c r="B13" s="30" t="s">
        <v>6388</v>
      </c>
      <c r="C13" s="30" t="s">
        <v>6443</v>
      </c>
      <c r="D13" s="31" t="s">
        <v>43</v>
      </c>
      <c r="E13" s="30" t="s">
        <v>45</v>
      </c>
      <c r="F13" s="30" t="s">
        <v>6444</v>
      </c>
      <c r="G13" s="30" t="s">
        <v>6445</v>
      </c>
      <c r="H13" s="30" t="s">
        <v>6446</v>
      </c>
      <c r="I13" s="30"/>
      <c r="J13" s="32" t="s">
        <v>51</v>
      </c>
      <c r="K13" s="30" t="s">
        <v>6441</v>
      </c>
    </row>
    <row r="14" spans="1:11" ht="36" customHeight="1">
      <c r="A14" s="33" t="s">
        <v>6447</v>
      </c>
      <c r="B14" s="33" t="s">
        <v>6388</v>
      </c>
      <c r="C14" s="33" t="s">
        <v>6448</v>
      </c>
      <c r="D14" s="34" t="s">
        <v>44</v>
      </c>
      <c r="E14" s="33" t="s">
        <v>45</v>
      </c>
      <c r="F14" s="33" t="s">
        <v>6449</v>
      </c>
      <c r="G14" s="33" t="s">
        <v>6450</v>
      </c>
      <c r="H14" s="33" t="s">
        <v>6451</v>
      </c>
      <c r="I14" s="33"/>
      <c r="J14" s="32" t="s">
        <v>51</v>
      </c>
      <c r="K14" s="33"/>
    </row>
    <row r="15" spans="1:11" ht="36" customHeight="1">
      <c r="A15" s="33" t="s">
        <v>6452</v>
      </c>
      <c r="B15" s="33" t="s">
        <v>6388</v>
      </c>
      <c r="C15" s="33" t="s">
        <v>6453</v>
      </c>
      <c r="D15" s="34" t="s">
        <v>44</v>
      </c>
      <c r="E15" s="33" t="s">
        <v>46</v>
      </c>
      <c r="F15" s="33" t="s">
        <v>6454</v>
      </c>
      <c r="G15" s="33" t="s">
        <v>6455</v>
      </c>
      <c r="H15" s="33" t="s">
        <v>6456</v>
      </c>
      <c r="I15" s="33"/>
      <c r="J15" s="32" t="s">
        <v>51</v>
      </c>
      <c r="K15" s="33"/>
    </row>
    <row r="16" spans="1:11" ht="36" customHeight="1">
      <c r="A16" s="30" t="s">
        <v>6457</v>
      </c>
      <c r="B16" s="30" t="s">
        <v>6458</v>
      </c>
      <c r="C16" s="30" t="s">
        <v>6459</v>
      </c>
      <c r="D16" s="31" t="s">
        <v>43</v>
      </c>
      <c r="E16" s="30" t="s">
        <v>45</v>
      </c>
      <c r="F16" s="30" t="s">
        <v>6460</v>
      </c>
      <c r="G16" s="30" t="s">
        <v>6461</v>
      </c>
      <c r="H16" s="30" t="s">
        <v>6462</v>
      </c>
      <c r="I16" s="30"/>
      <c r="J16" s="32" t="s">
        <v>51</v>
      </c>
      <c r="K16" s="30" t="s">
        <v>6393</v>
      </c>
    </row>
    <row r="17" spans="1:11" ht="36" customHeight="1">
      <c r="A17" s="30" t="s">
        <v>6463</v>
      </c>
      <c r="B17" s="30" t="s">
        <v>6458</v>
      </c>
      <c r="C17" s="30" t="s">
        <v>6464</v>
      </c>
      <c r="D17" s="31" t="s">
        <v>43</v>
      </c>
      <c r="E17" s="30" t="s">
        <v>45</v>
      </c>
      <c r="F17" s="30" t="s">
        <v>6465</v>
      </c>
      <c r="G17" s="30" t="s">
        <v>6461</v>
      </c>
      <c r="H17" s="30" t="s">
        <v>6466</v>
      </c>
      <c r="I17" s="30"/>
      <c r="J17" s="32" t="s">
        <v>51</v>
      </c>
      <c r="K17" s="30" t="s">
        <v>6393</v>
      </c>
    </row>
    <row r="18" spans="1:11" ht="36" customHeight="1">
      <c r="A18" s="33" t="s">
        <v>6467</v>
      </c>
      <c r="B18" s="33" t="s">
        <v>6458</v>
      </c>
      <c r="C18" s="33" t="s">
        <v>6468</v>
      </c>
      <c r="D18" s="34" t="s">
        <v>44</v>
      </c>
      <c r="E18" s="33" t="s">
        <v>45</v>
      </c>
      <c r="F18" s="33" t="s">
        <v>6469</v>
      </c>
      <c r="G18" s="33" t="s">
        <v>6470</v>
      </c>
      <c r="H18" s="33" t="s">
        <v>6471</v>
      </c>
      <c r="I18" s="33"/>
      <c r="J18" s="32" t="s">
        <v>51</v>
      </c>
      <c r="K18" s="33"/>
    </row>
    <row r="19" spans="1:11" ht="36" customHeight="1">
      <c r="A19" s="33" t="s">
        <v>6472</v>
      </c>
      <c r="B19" s="33" t="s">
        <v>6458</v>
      </c>
      <c r="C19" s="33" t="s">
        <v>6473</v>
      </c>
      <c r="D19" s="34" t="s">
        <v>44</v>
      </c>
      <c r="E19" s="33" t="s">
        <v>46</v>
      </c>
      <c r="F19" s="33" t="s">
        <v>6474</v>
      </c>
      <c r="G19" s="33" t="s">
        <v>6475</v>
      </c>
      <c r="H19" s="33" t="s">
        <v>6476</v>
      </c>
      <c r="I19" s="33"/>
      <c r="J19" s="32" t="s">
        <v>51</v>
      </c>
      <c r="K19" s="33"/>
    </row>
    <row r="20" spans="1:11" ht="36" customHeight="1">
      <c r="A20" s="30" t="s">
        <v>6477</v>
      </c>
      <c r="B20" s="30" t="s">
        <v>6478</v>
      </c>
      <c r="C20" s="30" t="s">
        <v>6479</v>
      </c>
      <c r="D20" s="31" t="s">
        <v>43</v>
      </c>
      <c r="E20" s="30" t="s">
        <v>45</v>
      </c>
      <c r="F20" s="30" t="s">
        <v>6480</v>
      </c>
      <c r="G20" s="30" t="s">
        <v>6481</v>
      </c>
      <c r="H20" s="30" t="s">
        <v>6482</v>
      </c>
      <c r="I20" s="30"/>
      <c r="J20" s="32" t="s">
        <v>51</v>
      </c>
      <c r="K20" s="30" t="s">
        <v>6393</v>
      </c>
    </row>
    <row r="21" spans="1:11" ht="24" customHeight="1">
      <c r="A21" s="33" t="s">
        <v>6483</v>
      </c>
      <c r="B21" s="33" t="s">
        <v>6478</v>
      </c>
      <c r="C21" s="33" t="s">
        <v>6484</v>
      </c>
      <c r="D21" s="34" t="s">
        <v>44</v>
      </c>
      <c r="E21" s="33" t="s">
        <v>45</v>
      </c>
      <c r="F21" s="33" t="s">
        <v>6485</v>
      </c>
      <c r="G21" s="33" t="s">
        <v>6250</v>
      </c>
      <c r="H21" s="33" t="s">
        <v>6486</v>
      </c>
      <c r="I21" s="33"/>
      <c r="J21" s="32" t="s">
        <v>51</v>
      </c>
      <c r="K21" s="33"/>
    </row>
    <row r="22" spans="1:11" ht="36" customHeight="1">
      <c r="A22" s="30" t="s">
        <v>6487</v>
      </c>
      <c r="B22" s="30" t="s">
        <v>6478</v>
      </c>
      <c r="C22" s="30" t="s">
        <v>6488</v>
      </c>
      <c r="D22" s="31" t="s">
        <v>43</v>
      </c>
      <c r="E22" s="30" t="s">
        <v>45</v>
      </c>
      <c r="F22" s="30" t="s">
        <v>6489</v>
      </c>
      <c r="G22" s="30" t="s">
        <v>6490</v>
      </c>
      <c r="H22" s="30" t="s">
        <v>6491</v>
      </c>
      <c r="I22" s="30"/>
      <c r="J22" s="32" t="s">
        <v>51</v>
      </c>
      <c r="K22" s="30" t="s">
        <v>6393</v>
      </c>
    </row>
    <row r="23" spans="1:11" ht="36" customHeight="1">
      <c r="A23" s="33" t="s">
        <v>6492</v>
      </c>
      <c r="B23" s="33" t="s">
        <v>6478</v>
      </c>
      <c r="C23" s="33" t="s">
        <v>6493</v>
      </c>
      <c r="D23" s="34" t="s">
        <v>44</v>
      </c>
      <c r="E23" s="33" t="s">
        <v>46</v>
      </c>
      <c r="F23" s="33" t="s">
        <v>6494</v>
      </c>
      <c r="G23" s="33" t="s">
        <v>6495</v>
      </c>
      <c r="H23" s="33" t="s">
        <v>6496</v>
      </c>
      <c r="I23" s="33"/>
      <c r="J23" s="32" t="s">
        <v>51</v>
      </c>
      <c r="K23" s="33"/>
    </row>
    <row r="24" spans="1:11" ht="36" customHeight="1">
      <c r="A24" s="30" t="s">
        <v>6497</v>
      </c>
      <c r="B24" s="30" t="s">
        <v>6478</v>
      </c>
      <c r="C24" s="30" t="s">
        <v>6498</v>
      </c>
      <c r="D24" s="31" t="s">
        <v>43</v>
      </c>
      <c r="E24" s="30" t="s">
        <v>45</v>
      </c>
      <c r="F24" s="30" t="s">
        <v>6499</v>
      </c>
      <c r="G24" s="30" t="s">
        <v>6500</v>
      </c>
      <c r="H24" s="30" t="s">
        <v>6501</v>
      </c>
      <c r="I24" s="30"/>
      <c r="J24" s="32" t="s">
        <v>51</v>
      </c>
      <c r="K24" s="30" t="s">
        <v>6393</v>
      </c>
    </row>
    <row r="25" spans="1:11" ht="36" customHeight="1">
      <c r="A25" s="33" t="s">
        <v>6502</v>
      </c>
      <c r="B25" s="33" t="s">
        <v>6478</v>
      </c>
      <c r="C25" s="33" t="s">
        <v>6503</v>
      </c>
      <c r="D25" s="34" t="s">
        <v>44</v>
      </c>
      <c r="E25" s="33" t="s">
        <v>45</v>
      </c>
      <c r="F25" s="33" t="s">
        <v>6504</v>
      </c>
      <c r="G25" s="33" t="s">
        <v>6505</v>
      </c>
      <c r="H25" s="33" t="s">
        <v>6506</v>
      </c>
      <c r="I25" s="33"/>
      <c r="J25" s="32" t="s">
        <v>51</v>
      </c>
      <c r="K25" s="33"/>
    </row>
    <row r="26" spans="1:11" ht="36" customHeight="1">
      <c r="A26" s="30" t="s">
        <v>6507</v>
      </c>
      <c r="B26" s="30" t="s">
        <v>6478</v>
      </c>
      <c r="C26" s="30" t="s">
        <v>6508</v>
      </c>
      <c r="D26" s="31" t="s">
        <v>43</v>
      </c>
      <c r="E26" s="30" t="s">
        <v>45</v>
      </c>
      <c r="F26" s="30" t="s">
        <v>6509</v>
      </c>
      <c r="G26" s="30" t="s">
        <v>6510</v>
      </c>
      <c r="H26" s="30" t="s">
        <v>6511</v>
      </c>
      <c r="I26" s="30"/>
      <c r="J26" s="32" t="s">
        <v>51</v>
      </c>
      <c r="K26" s="30" t="s">
        <v>6393</v>
      </c>
    </row>
    <row r="27" spans="1:11" ht="36" customHeight="1">
      <c r="A27" s="33" t="s">
        <v>6512</v>
      </c>
      <c r="B27" s="33" t="s">
        <v>6478</v>
      </c>
      <c r="C27" s="33" t="s">
        <v>6513</v>
      </c>
      <c r="D27" s="34" t="s">
        <v>44</v>
      </c>
      <c r="E27" s="33" t="s">
        <v>45</v>
      </c>
      <c r="F27" s="33" t="s">
        <v>6514</v>
      </c>
      <c r="G27" s="33" t="s">
        <v>6515</v>
      </c>
      <c r="H27" s="33" t="s">
        <v>6516</v>
      </c>
      <c r="I27" s="33"/>
      <c r="J27" s="32" t="s">
        <v>51</v>
      </c>
      <c r="K27" s="33"/>
    </row>
    <row r="28" spans="1:11" ht="36" customHeight="1">
      <c r="A28" s="30" t="s">
        <v>6517</v>
      </c>
      <c r="B28" s="30" t="s">
        <v>6478</v>
      </c>
      <c r="C28" s="30" t="s">
        <v>6518</v>
      </c>
      <c r="D28" s="31" t="s">
        <v>43</v>
      </c>
      <c r="E28" s="30" t="s">
        <v>45</v>
      </c>
      <c r="F28" s="30" t="s">
        <v>6519</v>
      </c>
      <c r="G28" s="30" t="s">
        <v>6520</v>
      </c>
      <c r="H28" s="30" t="s">
        <v>6521</v>
      </c>
      <c r="I28" s="30"/>
      <c r="J28" s="32" t="s">
        <v>51</v>
      </c>
      <c r="K28" s="30" t="s">
        <v>6393</v>
      </c>
    </row>
    <row r="29" spans="1:11" ht="36" customHeight="1">
      <c r="A29" s="33" t="s">
        <v>6522</v>
      </c>
      <c r="B29" s="33" t="s">
        <v>6478</v>
      </c>
      <c r="C29" s="33" t="s">
        <v>6523</v>
      </c>
      <c r="D29" s="34" t="s">
        <v>44</v>
      </c>
      <c r="E29" s="33" t="s">
        <v>45</v>
      </c>
      <c r="F29" s="33" t="s">
        <v>6524</v>
      </c>
      <c r="G29" s="33" t="s">
        <v>6525</v>
      </c>
      <c r="H29" s="33" t="s">
        <v>6526</v>
      </c>
      <c r="I29" s="33"/>
      <c r="J29" s="32" t="s">
        <v>51</v>
      </c>
      <c r="K29" s="33"/>
    </row>
    <row r="30" spans="1:11" ht="36" customHeight="1">
      <c r="A30" s="30" t="s">
        <v>6527</v>
      </c>
      <c r="B30" s="30" t="s">
        <v>6478</v>
      </c>
      <c r="C30" s="30" t="s">
        <v>6528</v>
      </c>
      <c r="D30" s="31" t="s">
        <v>43</v>
      </c>
      <c r="E30" s="30" t="s">
        <v>45</v>
      </c>
      <c r="F30" s="30" t="s">
        <v>6529</v>
      </c>
      <c r="G30" s="30" t="s">
        <v>6530</v>
      </c>
      <c r="H30" s="30" t="s">
        <v>6531</v>
      </c>
      <c r="I30" s="30"/>
      <c r="J30" s="32" t="s">
        <v>51</v>
      </c>
      <c r="K30" s="30" t="s">
        <v>6393</v>
      </c>
    </row>
    <row r="31" spans="1:11" ht="36" customHeight="1">
      <c r="A31" s="33" t="s">
        <v>6532</v>
      </c>
      <c r="B31" s="33" t="s">
        <v>6478</v>
      </c>
      <c r="C31" s="33" t="s">
        <v>6533</v>
      </c>
      <c r="D31" s="34" t="s">
        <v>44</v>
      </c>
      <c r="E31" s="33" t="s">
        <v>45</v>
      </c>
      <c r="F31" s="33" t="s">
        <v>6534</v>
      </c>
      <c r="G31" s="33" t="s">
        <v>6535</v>
      </c>
      <c r="H31" s="33" t="s">
        <v>6536</v>
      </c>
      <c r="I31" s="33"/>
      <c r="J31" s="32" t="s">
        <v>51</v>
      </c>
      <c r="K31" s="33"/>
    </row>
    <row r="32" spans="1:11" ht="36" customHeight="1">
      <c r="A32" s="30" t="s">
        <v>6537</v>
      </c>
      <c r="B32" s="30" t="s">
        <v>6478</v>
      </c>
      <c r="C32" s="30" t="s">
        <v>6538</v>
      </c>
      <c r="D32" s="31" t="s">
        <v>43</v>
      </c>
      <c r="E32" s="30" t="s">
        <v>45</v>
      </c>
      <c r="F32" s="30" t="s">
        <v>6539</v>
      </c>
      <c r="G32" s="30" t="s">
        <v>6540</v>
      </c>
      <c r="H32" s="30" t="s">
        <v>6541</v>
      </c>
      <c r="I32" s="30"/>
      <c r="J32" s="32" t="s">
        <v>51</v>
      </c>
      <c r="K32" s="30" t="s">
        <v>6393</v>
      </c>
    </row>
    <row r="33" spans="1:11" ht="48" customHeight="1">
      <c r="A33" s="33" t="s">
        <v>6542</v>
      </c>
      <c r="B33" s="33" t="s">
        <v>6478</v>
      </c>
      <c r="C33" s="33" t="s">
        <v>6543</v>
      </c>
      <c r="D33" s="34" t="s">
        <v>44</v>
      </c>
      <c r="E33" s="33" t="s">
        <v>46</v>
      </c>
      <c r="F33" s="33" t="s">
        <v>6544</v>
      </c>
      <c r="G33" s="33" t="s">
        <v>6545</v>
      </c>
      <c r="H33" s="33" t="s">
        <v>6546</v>
      </c>
      <c r="I33" s="33"/>
      <c r="J33" s="32" t="s">
        <v>51</v>
      </c>
      <c r="K33" s="33"/>
    </row>
    <row r="34" spans="1:11" ht="36" customHeight="1">
      <c r="A34" s="30" t="s">
        <v>6547</v>
      </c>
      <c r="B34" s="30" t="s">
        <v>6478</v>
      </c>
      <c r="C34" s="30" t="s">
        <v>6548</v>
      </c>
      <c r="D34" s="31" t="s">
        <v>43</v>
      </c>
      <c r="E34" s="30" t="s">
        <v>45</v>
      </c>
      <c r="F34" s="30" t="s">
        <v>6549</v>
      </c>
      <c r="G34" s="30" t="s">
        <v>6550</v>
      </c>
      <c r="H34" s="30" t="s">
        <v>6551</v>
      </c>
      <c r="I34" s="30"/>
      <c r="J34" s="32" t="s">
        <v>51</v>
      </c>
      <c r="K34" s="30" t="s">
        <v>6393</v>
      </c>
    </row>
    <row r="35" spans="1:11" ht="36" customHeight="1">
      <c r="A35" s="33" t="s">
        <v>6552</v>
      </c>
      <c r="B35" s="33" t="s">
        <v>6478</v>
      </c>
      <c r="C35" s="33" t="s">
        <v>6553</v>
      </c>
      <c r="D35" s="34" t="s">
        <v>44</v>
      </c>
      <c r="E35" s="33" t="s">
        <v>46</v>
      </c>
      <c r="F35" s="33" t="s">
        <v>6554</v>
      </c>
      <c r="G35" s="33" t="s">
        <v>6555</v>
      </c>
      <c r="H35" s="33" t="s">
        <v>6556</v>
      </c>
      <c r="I35" s="33"/>
      <c r="J35" s="32" t="s">
        <v>51</v>
      </c>
      <c r="K35" s="33"/>
    </row>
    <row r="36" spans="1:11" ht="36" customHeight="1">
      <c r="A36" s="30" t="s">
        <v>6557</v>
      </c>
      <c r="B36" s="30" t="s">
        <v>6478</v>
      </c>
      <c r="C36" s="30" t="s">
        <v>6558</v>
      </c>
      <c r="D36" s="31" t="s">
        <v>43</v>
      </c>
      <c r="E36" s="30" t="s">
        <v>45</v>
      </c>
      <c r="F36" s="30" t="s">
        <v>6559</v>
      </c>
      <c r="G36" s="30" t="s">
        <v>6560</v>
      </c>
      <c r="H36" s="30" t="s">
        <v>6561</v>
      </c>
      <c r="I36" s="30"/>
      <c r="J36" s="32" t="s">
        <v>51</v>
      </c>
      <c r="K36" s="30" t="s">
        <v>6393</v>
      </c>
    </row>
    <row r="37" spans="1:11" ht="36" customHeight="1">
      <c r="A37" s="33" t="s">
        <v>6562</v>
      </c>
      <c r="B37" s="33" t="s">
        <v>6478</v>
      </c>
      <c r="C37" s="33" t="s">
        <v>6563</v>
      </c>
      <c r="D37" s="34" t="s">
        <v>44</v>
      </c>
      <c r="E37" s="33" t="s">
        <v>45</v>
      </c>
      <c r="F37" s="33" t="s">
        <v>6564</v>
      </c>
      <c r="G37" s="33" t="s">
        <v>6565</v>
      </c>
      <c r="H37" s="33" t="s">
        <v>6566</v>
      </c>
      <c r="I37" s="33"/>
      <c r="J37" s="32" t="s">
        <v>51</v>
      </c>
      <c r="K37" s="33"/>
    </row>
    <row r="38" spans="1:11" ht="36" customHeight="1">
      <c r="A38" s="30" t="s">
        <v>6567</v>
      </c>
      <c r="B38" s="30" t="s">
        <v>6478</v>
      </c>
      <c r="C38" s="30" t="s">
        <v>6568</v>
      </c>
      <c r="D38" s="31" t="s">
        <v>43</v>
      </c>
      <c r="E38" s="30" t="s">
        <v>45</v>
      </c>
      <c r="F38" s="30" t="s">
        <v>6569</v>
      </c>
      <c r="G38" s="30" t="s">
        <v>6570</v>
      </c>
      <c r="H38" s="30" t="s">
        <v>6571</v>
      </c>
      <c r="I38" s="30"/>
      <c r="J38" s="32" t="s">
        <v>51</v>
      </c>
      <c r="K38" s="30" t="s">
        <v>6393</v>
      </c>
    </row>
    <row r="39" spans="1:11" ht="36" customHeight="1">
      <c r="A39" s="33" t="s">
        <v>6572</v>
      </c>
      <c r="B39" s="33" t="s">
        <v>6478</v>
      </c>
      <c r="C39" s="33" t="s">
        <v>6573</v>
      </c>
      <c r="D39" s="34" t="s">
        <v>44</v>
      </c>
      <c r="E39" s="33" t="s">
        <v>45</v>
      </c>
      <c r="F39" s="33" t="s">
        <v>6574</v>
      </c>
      <c r="G39" s="33" t="s">
        <v>6255</v>
      </c>
      <c r="H39" s="33" t="s">
        <v>6575</v>
      </c>
      <c r="I39" s="33"/>
      <c r="J39" s="32" t="s">
        <v>51</v>
      </c>
      <c r="K39" s="33"/>
    </row>
    <row r="40" spans="1:11" ht="36" customHeight="1">
      <c r="A40" s="30" t="s">
        <v>6576</v>
      </c>
      <c r="B40" s="30" t="s">
        <v>6478</v>
      </c>
      <c r="C40" s="30" t="s">
        <v>6577</v>
      </c>
      <c r="D40" s="31" t="s">
        <v>43</v>
      </c>
      <c r="E40" s="30" t="s">
        <v>45</v>
      </c>
      <c r="F40" s="30" t="s">
        <v>6578</v>
      </c>
      <c r="G40" s="30" t="s">
        <v>6579</v>
      </c>
      <c r="H40" s="30" t="s">
        <v>6580</v>
      </c>
      <c r="I40" s="30"/>
      <c r="J40" s="32" t="s">
        <v>51</v>
      </c>
      <c r="K40" s="30" t="s">
        <v>6393</v>
      </c>
    </row>
    <row r="41" spans="1:11" ht="48" customHeight="1">
      <c r="A41" s="30" t="s">
        <v>6581</v>
      </c>
      <c r="B41" s="30" t="s">
        <v>6478</v>
      </c>
      <c r="C41" s="30" t="s">
        <v>6582</v>
      </c>
      <c r="D41" s="31" t="s">
        <v>43</v>
      </c>
      <c r="E41" s="30" t="s">
        <v>46</v>
      </c>
      <c r="F41" s="30" t="s">
        <v>6583</v>
      </c>
      <c r="G41" s="30" t="s">
        <v>6584</v>
      </c>
      <c r="H41" s="30" t="s">
        <v>6585</v>
      </c>
      <c r="I41" s="30"/>
      <c r="J41" s="32" t="s">
        <v>51</v>
      </c>
      <c r="K41" s="30"/>
    </row>
    <row r="42" spans="1:11" ht="48" customHeight="1">
      <c r="A42" s="30" t="s">
        <v>6586</v>
      </c>
      <c r="B42" s="30" t="s">
        <v>6587</v>
      </c>
      <c r="C42" s="30" t="s">
        <v>6588</v>
      </c>
      <c r="D42" s="31" t="s">
        <v>43</v>
      </c>
      <c r="E42" s="30" t="s">
        <v>45</v>
      </c>
      <c r="F42" s="30" t="s">
        <v>6589</v>
      </c>
      <c r="G42" s="30" t="s">
        <v>6590</v>
      </c>
      <c r="H42" s="30" t="s">
        <v>6591</v>
      </c>
      <c r="I42" s="30"/>
      <c r="J42" s="32" t="s">
        <v>51</v>
      </c>
      <c r="K42" s="30" t="s">
        <v>6393</v>
      </c>
    </row>
    <row r="43" spans="1:11" ht="60" customHeight="1">
      <c r="A43" s="33" t="s">
        <v>6592</v>
      </c>
      <c r="B43" s="33" t="s">
        <v>6587</v>
      </c>
      <c r="C43" s="33" t="s">
        <v>6593</v>
      </c>
      <c r="D43" s="34" t="s">
        <v>44</v>
      </c>
      <c r="E43" s="33" t="s">
        <v>46</v>
      </c>
      <c r="F43" s="33" t="s">
        <v>6594</v>
      </c>
      <c r="G43" s="33" t="s">
        <v>6352</v>
      </c>
      <c r="H43" s="33" t="s">
        <v>6595</v>
      </c>
      <c r="I43" s="33"/>
      <c r="J43" s="32" t="s">
        <v>51</v>
      </c>
      <c r="K43" s="33"/>
    </row>
    <row r="44" spans="1:11" ht="36" customHeight="1">
      <c r="A44" s="33" t="s">
        <v>6596</v>
      </c>
      <c r="B44" s="33" t="s">
        <v>6587</v>
      </c>
      <c r="C44" s="33" t="s">
        <v>6597</v>
      </c>
      <c r="D44" s="34" t="s">
        <v>44</v>
      </c>
      <c r="E44" s="33" t="s">
        <v>46</v>
      </c>
      <c r="F44" s="33" t="s">
        <v>6598</v>
      </c>
      <c r="G44" s="33" t="s">
        <v>6292</v>
      </c>
      <c r="H44" s="33" t="s">
        <v>6599</v>
      </c>
      <c r="I44" s="33"/>
      <c r="J44" s="32" t="s">
        <v>51</v>
      </c>
      <c r="K44" s="33"/>
    </row>
    <row r="45" spans="1:11" ht="36" customHeight="1">
      <c r="A45" s="30" t="s">
        <v>6600</v>
      </c>
      <c r="B45" s="30" t="s">
        <v>6587</v>
      </c>
      <c r="C45" s="30" t="s">
        <v>6601</v>
      </c>
      <c r="D45" s="31" t="s">
        <v>43</v>
      </c>
      <c r="E45" s="30" t="s">
        <v>45</v>
      </c>
      <c r="F45" s="30" t="s">
        <v>6307</v>
      </c>
      <c r="G45" s="30" t="s">
        <v>6308</v>
      </c>
      <c r="H45" s="30" t="s">
        <v>6602</v>
      </c>
      <c r="I45" s="30"/>
      <c r="J45" s="32" t="s">
        <v>51</v>
      </c>
      <c r="K45" s="30" t="s">
        <v>6393</v>
      </c>
    </row>
    <row r="46" spans="1:11" ht="36" customHeight="1">
      <c r="A46" s="33" t="s">
        <v>6603</v>
      </c>
      <c r="B46" s="33" t="s">
        <v>6587</v>
      </c>
      <c r="C46" s="33" t="s">
        <v>6604</v>
      </c>
      <c r="D46" s="34" t="s">
        <v>44</v>
      </c>
      <c r="E46" s="33" t="s">
        <v>45</v>
      </c>
      <c r="F46" s="33" t="s">
        <v>6316</v>
      </c>
      <c r="G46" s="33" t="s">
        <v>6317</v>
      </c>
      <c r="H46" s="33" t="s">
        <v>6605</v>
      </c>
      <c r="I46" s="33"/>
      <c r="J46" s="32" t="s">
        <v>51</v>
      </c>
      <c r="K46" s="33"/>
    </row>
    <row r="47" spans="1:11" ht="36" customHeight="1">
      <c r="A47" s="30" t="s">
        <v>6606</v>
      </c>
      <c r="B47" s="30" t="s">
        <v>6587</v>
      </c>
      <c r="C47" s="30" t="s">
        <v>6607</v>
      </c>
      <c r="D47" s="31" t="s">
        <v>43</v>
      </c>
      <c r="E47" s="30" t="s">
        <v>45</v>
      </c>
      <c r="F47" s="30" t="s">
        <v>6608</v>
      </c>
      <c r="G47" s="30" t="s">
        <v>6332</v>
      </c>
      <c r="H47" s="30" t="s">
        <v>6609</v>
      </c>
      <c r="I47" s="30"/>
      <c r="J47" s="32" t="s">
        <v>51</v>
      </c>
      <c r="K47" s="30" t="s">
        <v>6393</v>
      </c>
    </row>
    <row r="48" spans="1:11" ht="24" customHeight="1">
      <c r="A48" s="33" t="s">
        <v>6610</v>
      </c>
      <c r="B48" s="33" t="s">
        <v>6587</v>
      </c>
      <c r="C48" s="33" t="s">
        <v>6611</v>
      </c>
      <c r="D48" s="34" t="s">
        <v>44</v>
      </c>
      <c r="E48" s="33" t="s">
        <v>46</v>
      </c>
      <c r="F48" s="33" t="s">
        <v>6612</v>
      </c>
      <c r="G48" s="33" t="s">
        <v>6292</v>
      </c>
      <c r="H48" s="33" t="s">
        <v>6613</v>
      </c>
      <c r="I48" s="33"/>
      <c r="J48" s="32" t="s">
        <v>51</v>
      </c>
      <c r="K48" s="33"/>
    </row>
    <row r="49" spans="1:11" ht="36" customHeight="1">
      <c r="A49" s="33" t="s">
        <v>6614</v>
      </c>
      <c r="B49" s="33" t="s">
        <v>6587</v>
      </c>
      <c r="C49" s="33" t="s">
        <v>6615</v>
      </c>
      <c r="D49" s="34" t="s">
        <v>44</v>
      </c>
      <c r="E49" s="33" t="s">
        <v>46</v>
      </c>
      <c r="F49" s="33" t="s">
        <v>6356</v>
      </c>
      <c r="G49" s="33" t="s">
        <v>6357</v>
      </c>
      <c r="H49" s="33" t="s">
        <v>6616</v>
      </c>
      <c r="I49" s="33"/>
      <c r="J49" s="32" t="s">
        <v>51</v>
      </c>
      <c r="K49" s="33"/>
    </row>
    <row r="50" spans="1:11" ht="36" customHeight="1">
      <c r="A50" s="30" t="s">
        <v>6617</v>
      </c>
      <c r="B50" s="30" t="s">
        <v>6587</v>
      </c>
      <c r="C50" s="30" t="s">
        <v>6618</v>
      </c>
      <c r="D50" s="31" t="s">
        <v>43</v>
      </c>
      <c r="E50" s="30" t="s">
        <v>45</v>
      </c>
      <c r="F50" s="30" t="s">
        <v>6619</v>
      </c>
      <c r="G50" s="30" t="s">
        <v>6620</v>
      </c>
      <c r="H50" s="30" t="s">
        <v>6621</v>
      </c>
      <c r="I50" s="30"/>
      <c r="J50" s="32" t="s">
        <v>51</v>
      </c>
      <c r="K50" s="30" t="s">
        <v>6393</v>
      </c>
    </row>
    <row r="51" spans="1:11" ht="36" customHeight="1">
      <c r="A51" s="33" t="s">
        <v>6622</v>
      </c>
      <c r="B51" s="33" t="s">
        <v>6587</v>
      </c>
      <c r="C51" s="33" t="s">
        <v>6623</v>
      </c>
      <c r="D51" s="34" t="s">
        <v>44</v>
      </c>
      <c r="E51" s="33" t="s">
        <v>46</v>
      </c>
      <c r="F51" s="33" t="s">
        <v>6624</v>
      </c>
      <c r="G51" s="33" t="s">
        <v>6287</v>
      </c>
      <c r="H51" s="33" t="s">
        <v>6625</v>
      </c>
      <c r="I51" s="33"/>
      <c r="J51" s="32" t="s">
        <v>51</v>
      </c>
      <c r="K51" s="33"/>
    </row>
    <row r="52" spans="1:11" ht="36" customHeight="1">
      <c r="A52" s="30" t="s">
        <v>6626</v>
      </c>
      <c r="B52" s="30" t="s">
        <v>6587</v>
      </c>
      <c r="C52" s="30" t="s">
        <v>6627</v>
      </c>
      <c r="D52" s="31" t="s">
        <v>43</v>
      </c>
      <c r="E52" s="30" t="s">
        <v>46</v>
      </c>
      <c r="F52" s="30" t="s">
        <v>6346</v>
      </c>
      <c r="G52" s="30" t="s">
        <v>6347</v>
      </c>
      <c r="H52" s="30" t="s">
        <v>6628</v>
      </c>
      <c r="I52" s="30"/>
      <c r="J52" s="32" t="s">
        <v>51</v>
      </c>
      <c r="K52" s="30" t="s">
        <v>6629</v>
      </c>
    </row>
    <row r="53" spans="1:11" ht="24" customHeight="1">
      <c r="A53" s="33" t="s">
        <v>6630</v>
      </c>
      <c r="B53" s="33" t="s">
        <v>6587</v>
      </c>
      <c r="C53" s="33" t="s">
        <v>6631</v>
      </c>
      <c r="D53" s="34" t="s">
        <v>44</v>
      </c>
      <c r="E53" s="33" t="s">
        <v>46</v>
      </c>
      <c r="F53" s="33" t="s">
        <v>6361</v>
      </c>
      <c r="G53" s="33" t="s">
        <v>6362</v>
      </c>
      <c r="H53" s="33" t="s">
        <v>6632</v>
      </c>
      <c r="I53" s="33"/>
      <c r="J53" s="32" t="s">
        <v>51</v>
      </c>
      <c r="K53" s="33"/>
    </row>
    <row r="54" spans="1:11" ht="48" customHeight="1">
      <c r="A54" s="30" t="s">
        <v>6633</v>
      </c>
      <c r="B54" s="30" t="s">
        <v>6634</v>
      </c>
      <c r="C54" s="30" t="s">
        <v>6635</v>
      </c>
      <c r="D54" s="31" t="s">
        <v>43</v>
      </c>
      <c r="E54" s="30" t="s">
        <v>45</v>
      </c>
      <c r="F54" s="30" t="s">
        <v>6636</v>
      </c>
      <c r="G54" s="30" t="s">
        <v>109</v>
      </c>
      <c r="H54" s="30" t="s">
        <v>6637</v>
      </c>
      <c r="I54" s="30"/>
      <c r="J54" s="32" t="s">
        <v>51</v>
      </c>
      <c r="K54" s="30"/>
    </row>
    <row r="55" spans="1:11" ht="36" customHeight="1">
      <c r="A55" s="30" t="s">
        <v>6638</v>
      </c>
      <c r="B55" s="30" t="s">
        <v>6634</v>
      </c>
      <c r="C55" s="30" t="s">
        <v>6639</v>
      </c>
      <c r="D55" s="31" t="s">
        <v>43</v>
      </c>
      <c r="E55" s="30" t="s">
        <v>45</v>
      </c>
      <c r="F55" s="30" t="s">
        <v>6640</v>
      </c>
      <c r="G55" s="30" t="s">
        <v>109</v>
      </c>
      <c r="H55" s="30" t="s">
        <v>6641</v>
      </c>
      <c r="I55" s="30"/>
      <c r="J55" s="32" t="s">
        <v>51</v>
      </c>
      <c r="K55" s="30"/>
    </row>
    <row r="56" spans="1:11" ht="36" customHeight="1">
      <c r="A56" s="30" t="s">
        <v>6642</v>
      </c>
      <c r="B56" s="30" t="s">
        <v>6634</v>
      </c>
      <c r="C56" s="30" t="s">
        <v>6643</v>
      </c>
      <c r="D56" s="31" t="s">
        <v>43</v>
      </c>
      <c r="E56" s="30" t="s">
        <v>45</v>
      </c>
      <c r="F56" s="30" t="s">
        <v>6644</v>
      </c>
      <c r="G56" s="30" t="s">
        <v>109</v>
      </c>
      <c r="H56" s="30" t="s">
        <v>6645</v>
      </c>
      <c r="I56" s="30"/>
      <c r="J56" s="32" t="s">
        <v>51</v>
      </c>
      <c r="K56" s="30"/>
    </row>
    <row r="57" spans="1:11" ht="48" customHeight="1">
      <c r="A57" s="30" t="s">
        <v>6646</v>
      </c>
      <c r="B57" s="30" t="s">
        <v>6634</v>
      </c>
      <c r="C57" s="30" t="s">
        <v>6647</v>
      </c>
      <c r="D57" s="31" t="s">
        <v>43</v>
      </c>
      <c r="E57" s="30" t="s">
        <v>45</v>
      </c>
      <c r="F57" s="30" t="s">
        <v>6648</v>
      </c>
      <c r="G57" s="30" t="s">
        <v>109</v>
      </c>
      <c r="H57" s="30" t="s">
        <v>6649</v>
      </c>
      <c r="I57" s="30"/>
      <c r="J57" s="32" t="s">
        <v>51</v>
      </c>
      <c r="K57" s="30"/>
    </row>
    <row r="58" spans="1:11" ht="36" customHeight="1">
      <c r="A58" s="30" t="s">
        <v>6650</v>
      </c>
      <c r="B58" s="30" t="s">
        <v>6634</v>
      </c>
      <c r="C58" s="30" t="s">
        <v>6651</v>
      </c>
      <c r="D58" s="31" t="s">
        <v>43</v>
      </c>
      <c r="E58" s="30" t="s">
        <v>46</v>
      </c>
      <c r="F58" s="30" t="s">
        <v>6652</v>
      </c>
      <c r="G58" s="30" t="s">
        <v>109</v>
      </c>
      <c r="H58" s="30" t="s">
        <v>6653</v>
      </c>
      <c r="I58" s="30"/>
      <c r="J58" s="32" t="s">
        <v>51</v>
      </c>
      <c r="K58" s="30" t="s">
        <v>6654</v>
      </c>
    </row>
    <row r="59" spans="1:11" ht="36" customHeight="1">
      <c r="A59" s="30" t="s">
        <v>6655</v>
      </c>
      <c r="B59" s="30" t="s">
        <v>6634</v>
      </c>
      <c r="C59" s="30" t="s">
        <v>6656</v>
      </c>
      <c r="D59" s="31" t="s">
        <v>43</v>
      </c>
      <c r="E59" s="30" t="s">
        <v>47</v>
      </c>
      <c r="F59" s="30" t="s">
        <v>6657</v>
      </c>
      <c r="G59" s="30" t="s">
        <v>109</v>
      </c>
      <c r="H59" s="30" t="s">
        <v>6658</v>
      </c>
      <c r="I59" s="30"/>
      <c r="J59" s="32" t="s">
        <v>51</v>
      </c>
      <c r="K59" s="30" t="s">
        <v>6659</v>
      </c>
    </row>
    <row r="60" spans="1:11" ht="48" customHeight="1">
      <c r="A60" s="30" t="s">
        <v>6660</v>
      </c>
      <c r="B60" s="30" t="s">
        <v>6634</v>
      </c>
      <c r="C60" s="30" t="s">
        <v>6661</v>
      </c>
      <c r="D60" s="31" t="s">
        <v>43</v>
      </c>
      <c r="E60" s="30" t="s">
        <v>46</v>
      </c>
      <c r="F60" s="30" t="s">
        <v>6662</v>
      </c>
      <c r="G60" s="30" t="s">
        <v>109</v>
      </c>
      <c r="H60" s="30" t="s">
        <v>6663</v>
      </c>
      <c r="I60" s="30"/>
      <c r="J60" s="32" t="s">
        <v>51</v>
      </c>
      <c r="K60" s="30" t="s">
        <v>6664</v>
      </c>
    </row>
    <row r="61" spans="1:11" ht="60" customHeight="1">
      <c r="A61" s="33" t="s">
        <v>6665</v>
      </c>
      <c r="B61" s="33" t="s">
        <v>6634</v>
      </c>
      <c r="C61" s="33" t="s">
        <v>6666</v>
      </c>
      <c r="D61" s="34" t="s">
        <v>44</v>
      </c>
      <c r="E61" s="33" t="s">
        <v>45</v>
      </c>
      <c r="F61" s="33" t="s">
        <v>6667</v>
      </c>
      <c r="G61" s="33" t="s">
        <v>109</v>
      </c>
      <c r="H61" s="33" t="s">
        <v>6668</v>
      </c>
      <c r="I61" s="33"/>
      <c r="J61" s="32" t="s">
        <v>51</v>
      </c>
      <c r="K61" s="33"/>
    </row>
    <row r="62" spans="1:11" ht="48" customHeight="1">
      <c r="A62" s="33" t="s">
        <v>6669</v>
      </c>
      <c r="B62" s="33" t="s">
        <v>6634</v>
      </c>
      <c r="C62" s="33" t="s">
        <v>6670</v>
      </c>
      <c r="D62" s="34" t="s">
        <v>44</v>
      </c>
      <c r="E62" s="33" t="s">
        <v>45</v>
      </c>
      <c r="F62" s="33" t="s">
        <v>6671</v>
      </c>
      <c r="G62" s="33" t="s">
        <v>109</v>
      </c>
      <c r="H62" s="33" t="s">
        <v>6672</v>
      </c>
      <c r="I62" s="33"/>
      <c r="J62" s="32" t="s">
        <v>51</v>
      </c>
      <c r="K62" s="33"/>
    </row>
    <row r="63" spans="1:11" ht="48" customHeight="1">
      <c r="A63" s="33" t="s">
        <v>6673</v>
      </c>
      <c r="B63" s="33" t="s">
        <v>6634</v>
      </c>
      <c r="C63" s="33" t="s">
        <v>6674</v>
      </c>
      <c r="D63" s="34" t="s">
        <v>44</v>
      </c>
      <c r="E63" s="33" t="s">
        <v>45</v>
      </c>
      <c r="F63" s="33" t="s">
        <v>6675</v>
      </c>
      <c r="G63" s="33" t="s">
        <v>109</v>
      </c>
      <c r="H63" s="33" t="s">
        <v>6676</v>
      </c>
      <c r="I63" s="33"/>
      <c r="J63" s="32" t="s">
        <v>51</v>
      </c>
      <c r="K63" s="33"/>
    </row>
    <row r="64" spans="1:11" ht="84" customHeight="1">
      <c r="A64" s="30" t="s">
        <v>6677</v>
      </c>
      <c r="B64" s="30" t="s">
        <v>6634</v>
      </c>
      <c r="C64" s="30" t="s">
        <v>6678</v>
      </c>
      <c r="D64" s="31" t="s">
        <v>43</v>
      </c>
      <c r="E64" s="30" t="s">
        <v>46</v>
      </c>
      <c r="F64" s="30" t="s">
        <v>6679</v>
      </c>
      <c r="G64" s="30" t="s">
        <v>6680</v>
      </c>
      <c r="H64" s="30" t="s">
        <v>6681</v>
      </c>
      <c r="I64" s="30"/>
      <c r="J64" s="32" t="s">
        <v>51</v>
      </c>
      <c r="K64" s="30"/>
    </row>
    <row r="65" spans="1:11" ht="48" customHeight="1">
      <c r="A65" s="33" t="s">
        <v>6682</v>
      </c>
      <c r="B65" s="33" t="s">
        <v>6634</v>
      </c>
      <c r="C65" s="33" t="s">
        <v>6683</v>
      </c>
      <c r="D65" s="34" t="s">
        <v>44</v>
      </c>
      <c r="E65" s="33" t="s">
        <v>46</v>
      </c>
      <c r="F65" s="33" t="s">
        <v>6684</v>
      </c>
      <c r="G65" s="33" t="s">
        <v>6685</v>
      </c>
      <c r="H65" s="33" t="s">
        <v>6686</v>
      </c>
      <c r="I65" s="33"/>
      <c r="J65" s="32" t="s">
        <v>51</v>
      </c>
      <c r="K65" s="33" t="s">
        <v>6687</v>
      </c>
    </row>
  </sheetData>
  <autoFilter ref="A1:K65" xr:uid="{00000000-0009-0000-0000-00001500000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2</cp:revision>
  <dcterms:created xsi:type="dcterms:W3CDTF">2026-07-30T08:08:55Z</dcterms:created>
  <dcterms:modified xsi:type="dcterms:W3CDTF">2026-10-05T07:07:01Z</dcterms:modified>
  <cp:category/>
  <cp:contentStatus/>
</cp:coreProperties>
</file>